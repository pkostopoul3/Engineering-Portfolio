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07aec70558032046/Υπολογιστής/Investment_Decision_Analysis/"/>
    </mc:Choice>
  </mc:AlternateContent>
  <xr:revisionPtr revIDLastSave="0" documentId="8_{9E831659-AACA-48CA-B219-18D4B0928D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Φύλλο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H4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C17" i="1"/>
  <c r="C16" i="1"/>
  <c r="C15" i="1"/>
  <c r="C14" i="1"/>
  <c r="C13" i="1"/>
  <c r="C12" i="1"/>
  <c r="C11" i="1"/>
  <c r="B17" i="1"/>
  <c r="B16" i="1"/>
  <c r="B15" i="1"/>
  <c r="B14" i="1"/>
  <c r="B13" i="1"/>
  <c r="B12" i="1"/>
  <c r="B11" i="1"/>
  <c r="B10" i="1"/>
  <c r="C10" i="1"/>
  <c r="C9" i="1"/>
  <c r="B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F4" i="1"/>
</calcChain>
</file>

<file path=xl/sharedStrings.xml><?xml version="1.0" encoding="utf-8"?>
<sst xmlns="http://schemas.openxmlformats.org/spreadsheetml/2006/main" count="14" uniqueCount="14">
  <si>
    <t>Αγορά Σπιτιού</t>
  </si>
  <si>
    <t>Ποσό Δανεισμού</t>
  </si>
  <si>
    <t>Επιτόκιο</t>
  </si>
  <si>
    <t>Αριθμός Ετήσιων Δόσεων</t>
  </si>
  <si>
    <t>Ποσό Δόσης</t>
  </si>
  <si>
    <t>Συνολικό Ποσό Πληρωμής</t>
  </si>
  <si>
    <t>Συνολικός Πληρωτέος Τόκος</t>
  </si>
  <si>
    <t>Σενάριο 1</t>
  </si>
  <si>
    <t>0.195%</t>
  </si>
  <si>
    <t>Α/Α Δόσης</t>
  </si>
  <si>
    <t>Ποσό Τόκου</t>
  </si>
  <si>
    <t>Ποσό Πληρωμής Κεφαλαίου</t>
  </si>
  <si>
    <t>Υπόλοιπο Κεφαλαίου</t>
  </si>
  <si>
    <t>Μηνιαία Δόση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</si>
</sst>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;[Red]\-#,##0.00\ &quot;€&quot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10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4" fontId="0" fillId="0" borderId="0" xfId="0" applyNumberForma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1">
    <cellStyle name="Κανονικό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8"/>
  <sheetViews>
    <sheetView tabSelected="1" topLeftCell="A2" workbookViewId="0">
      <selection sqref="A1:H38"/>
    </sheetView>
  </sheetViews>
  <sheetFormatPr defaultColWidth="13.44140625" defaultRowHeight="21.75" customHeight="1" x14ac:dyDescent="0.3"/>
  <cols>
    <col min="1" max="16384" width="13.44140625" style="1"/>
  </cols>
  <sheetData>
    <row r="1" spans="1:8" ht="21.75" customHeight="1" x14ac:dyDescent="0.3">
      <c r="D1" s="6" t="s">
        <v>0</v>
      </c>
      <c r="E1" s="7"/>
      <c r="F1" s="8"/>
    </row>
    <row r="2" spans="1:8" ht="44.25" customHeight="1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 spans="1:8" ht="15.75" customHeight="1" x14ac:dyDescent="0.3"/>
    <row r="4" spans="1:8" ht="15.75" customHeight="1" x14ac:dyDescent="0.3">
      <c r="A4" s="1" t="s">
        <v>7</v>
      </c>
      <c r="C4" s="2">
        <v>300000</v>
      </c>
      <c r="D4" s="3" t="s">
        <v>8</v>
      </c>
      <c r="E4" s="1">
        <v>30</v>
      </c>
      <c r="F4" s="4">
        <f>PMT(0.195%,30,300000,)</f>
        <v>-10305.095770191147</v>
      </c>
      <c r="G4" s="4">
        <f>SUM(E9:E38)</f>
        <v>-309152.87310573435</v>
      </c>
      <c r="H4" s="4">
        <f>SUM(B9:B38)</f>
        <v>-9152.8731057344721</v>
      </c>
    </row>
    <row r="5" spans="1:8" ht="15.75" customHeight="1" x14ac:dyDescent="0.3">
      <c r="H5" s="4"/>
    </row>
    <row r="6" spans="1:8" ht="15.75" customHeight="1" x14ac:dyDescent="0.3">
      <c r="H6" s="4"/>
    </row>
    <row r="7" spans="1:8" ht="48" customHeight="1" x14ac:dyDescent="0.3">
      <c r="A7" s="1" t="s">
        <v>9</v>
      </c>
      <c r="B7" s="1" t="s">
        <v>10</v>
      </c>
      <c r="C7" s="1" t="s">
        <v>11</v>
      </c>
      <c r="D7" s="1" t="s">
        <v>12</v>
      </c>
      <c r="E7" s="1" t="s">
        <v>13</v>
      </c>
      <c r="H7" s="4"/>
    </row>
    <row r="8" spans="1:8" ht="15.75" customHeight="1" x14ac:dyDescent="0.3">
      <c r="D8" s="2">
        <v>300000</v>
      </c>
      <c r="H8" s="4"/>
    </row>
    <row r="9" spans="1:8" ht="15.75" customHeight="1" x14ac:dyDescent="0.3">
      <c r="A9" s="1">
        <v>1</v>
      </c>
      <c r="B9" s="4">
        <f>IPMT(0.195%,1,30,300000,)</f>
        <v>-585</v>
      </c>
      <c r="C9" s="4">
        <f>PPMT(0.195%,1,30,300000,)</f>
        <v>-9720.0957701911466</v>
      </c>
      <c r="D9" s="5">
        <v>290279.90000000002</v>
      </c>
      <c r="E9" s="4">
        <f t="shared" ref="E9:E38" si="0">PMT(0.195%,30,300000,)</f>
        <v>-10305.095770191147</v>
      </c>
      <c r="H9" s="4"/>
    </row>
    <row r="10" spans="1:8" ht="15.75" customHeight="1" x14ac:dyDescent="0.3">
      <c r="A10" s="1">
        <v>2</v>
      </c>
      <c r="B10" s="4">
        <f>IPMT(0.195%,2,30,300000,)</f>
        <v>-566.04581324812727</v>
      </c>
      <c r="C10" s="4">
        <f>PPMT(0.195%,2,30,300000,)</f>
        <v>-9739.0499569430194</v>
      </c>
      <c r="D10" s="5">
        <v>280540.40000000002</v>
      </c>
      <c r="E10" s="4">
        <f t="shared" si="0"/>
        <v>-10305.095770191147</v>
      </c>
      <c r="H10" s="4"/>
    </row>
    <row r="11" spans="1:8" ht="15.75" customHeight="1" x14ac:dyDescent="0.3">
      <c r="A11" s="1">
        <v>3</v>
      </c>
      <c r="B11" s="4">
        <f>IPMT(0.195%,3,30,300000,)</f>
        <v>-547.0546658320884</v>
      </c>
      <c r="C11" s="4">
        <f>PPMT(0.195%,3,30,300000,)</f>
        <v>-9758.0411043590593</v>
      </c>
      <c r="D11" s="5">
        <v>270782.81</v>
      </c>
      <c r="E11" s="4">
        <f t="shared" si="0"/>
        <v>-10305.095770191147</v>
      </c>
      <c r="H11" s="4"/>
    </row>
    <row r="12" spans="1:8" ht="15.75" customHeight="1" x14ac:dyDescent="0.3">
      <c r="A12" s="1">
        <v>4</v>
      </c>
      <c r="B12" s="4">
        <f>IPMT(0.195%,4,30,300000,)</f>
        <v>-528.02648567858819</v>
      </c>
      <c r="C12" s="4">
        <f>PPMT(0.195%,4,30,300000,)</f>
        <v>-9777.0692845125595</v>
      </c>
      <c r="D12" s="5">
        <v>261005.74</v>
      </c>
      <c r="E12" s="4">
        <f t="shared" si="0"/>
        <v>-10305.095770191147</v>
      </c>
      <c r="H12" s="4"/>
    </row>
    <row r="13" spans="1:8" ht="15.75" customHeight="1" x14ac:dyDescent="0.3">
      <c r="A13" s="1">
        <v>5</v>
      </c>
      <c r="B13" s="4">
        <f>IPMT(0.195%,5,30,300000,)</f>
        <v>-508.96120057378863</v>
      </c>
      <c r="C13" s="4">
        <f>PPMT(0.195%,5,30,300000,)</f>
        <v>-9796.1345696173576</v>
      </c>
      <c r="D13" s="5">
        <v>251209.61</v>
      </c>
      <c r="E13" s="4">
        <f t="shared" si="0"/>
        <v>-10305.095770191147</v>
      </c>
      <c r="H13" s="4"/>
    </row>
    <row r="14" spans="1:8" ht="15.75" customHeight="1" x14ac:dyDescent="0.3">
      <c r="A14" s="1">
        <v>6</v>
      </c>
      <c r="B14" s="4">
        <f>IPMT(0.195%,6,30,300000,)</f>
        <v>-489.85873816303473</v>
      </c>
      <c r="C14" s="4">
        <f>PPMT(0.195%,6,30,300000,)</f>
        <v>-9815.2370320281116</v>
      </c>
      <c r="D14" s="5">
        <v>241394.37</v>
      </c>
      <c r="E14" s="4">
        <f t="shared" si="0"/>
        <v>-10305.095770191147</v>
      </c>
      <c r="H14" s="4"/>
    </row>
    <row r="15" spans="1:8" ht="15.75" customHeight="1" x14ac:dyDescent="0.3">
      <c r="A15" s="1">
        <v>7</v>
      </c>
      <c r="B15" s="4">
        <f>IPMT(0.195%,7,30,300000,)</f>
        <v>-470.71902595057998</v>
      </c>
      <c r="C15" s="4">
        <f>PPMT(0.195%,7,30,300000,)</f>
        <v>-9834.3767442405679</v>
      </c>
      <c r="D15" s="5">
        <v>231559.99</v>
      </c>
      <c r="E15" s="4">
        <f t="shared" si="0"/>
        <v>-10305.095770191147</v>
      </c>
      <c r="H15" s="4"/>
    </row>
    <row r="16" spans="1:8" ht="15.75" customHeight="1" x14ac:dyDescent="0.3">
      <c r="A16" s="1">
        <v>8</v>
      </c>
      <c r="B16" s="4">
        <f>IPMT(0.195%,8,30,300000,)</f>
        <v>-451.54199129931089</v>
      </c>
      <c r="C16" s="4">
        <f>PPMT(0.195%,8,30,300000,)</f>
        <v>-9853.5537788918355</v>
      </c>
      <c r="D16" s="5">
        <v>221706.44</v>
      </c>
      <c r="E16" s="4">
        <f t="shared" si="0"/>
        <v>-10305.095770191147</v>
      </c>
      <c r="H16" s="4"/>
    </row>
    <row r="17" spans="1:8" ht="15.75" customHeight="1" x14ac:dyDescent="0.3">
      <c r="A17" s="1">
        <v>9</v>
      </c>
      <c r="B17" s="4">
        <f>IPMT(0.195%,9,30,300000,)</f>
        <v>-432.3275614304718</v>
      </c>
      <c r="C17" s="4">
        <f>PPMT(0.195%,9,30,300000,)</f>
        <v>-9872.7682087606754</v>
      </c>
      <c r="D17" s="5">
        <v>211833.67</v>
      </c>
      <c r="E17" s="4">
        <f t="shared" si="0"/>
        <v>-10305.095770191147</v>
      </c>
      <c r="H17" s="4"/>
    </row>
    <row r="18" spans="1:8" ht="15.75" customHeight="1" x14ac:dyDescent="0.3">
      <c r="A18" s="1">
        <v>10</v>
      </c>
      <c r="B18" s="4">
        <f>IPMT(0.195%,10,30,300000,)</f>
        <v>-413.07566342338851</v>
      </c>
      <c r="C18" s="4">
        <f>PPMT(0.195%,10,30,300000,)</f>
        <v>-9892.020106767759</v>
      </c>
      <c r="D18" s="5">
        <v>201941.65</v>
      </c>
      <c r="E18" s="4">
        <f t="shared" si="0"/>
        <v>-10305.095770191147</v>
      </c>
      <c r="H18" s="4"/>
    </row>
    <row r="19" spans="1:8" ht="15.75" customHeight="1" x14ac:dyDescent="0.3">
      <c r="A19" s="1">
        <v>11</v>
      </c>
      <c r="B19" s="4">
        <f>IPMT(0.195%,11,30,300000,)</f>
        <v>-393.78622421519134</v>
      </c>
      <c r="C19" s="4">
        <f>PPMT(0.195%,11,30,300000,)</f>
        <v>-9911.3095459759552</v>
      </c>
      <c r="D19" s="5">
        <v>192030.34</v>
      </c>
      <c r="E19" s="4">
        <f t="shared" si="0"/>
        <v>-10305.095770191147</v>
      </c>
      <c r="H19" s="4"/>
    </row>
    <row r="20" spans="1:8" ht="15.75" customHeight="1" x14ac:dyDescent="0.3">
      <c r="A20" s="1">
        <v>12</v>
      </c>
      <c r="B20" s="4">
        <f>IPMT(0.195%,12,30,300000,)</f>
        <v>-374.4591706005383</v>
      </c>
      <c r="C20" s="4">
        <f>PPMT(0.195%,12,30,300000,)</f>
        <v>-9930.636599590609</v>
      </c>
      <c r="D20" s="5">
        <v>182099.7</v>
      </c>
      <c r="E20" s="4">
        <f t="shared" si="0"/>
        <v>-10305.095770191147</v>
      </c>
      <c r="H20" s="4"/>
    </row>
    <row r="21" spans="1:8" ht="15.75" customHeight="1" x14ac:dyDescent="0.3">
      <c r="A21" s="1">
        <v>13</v>
      </c>
      <c r="B21" s="4">
        <f>IPMT(0.195%,13,30,300000,)</f>
        <v>-355.09442923133651</v>
      </c>
      <c r="C21" s="4">
        <f>PPMT(0.195%,13,30,300000,)</f>
        <v>-9950.0013409598105</v>
      </c>
      <c r="D21" s="5">
        <v>172149.7</v>
      </c>
      <c r="E21" s="4">
        <f t="shared" si="0"/>
        <v>-10305.095770191147</v>
      </c>
      <c r="H21" s="4"/>
    </row>
    <row r="22" spans="1:8" ht="15.75" customHeight="1" x14ac:dyDescent="0.3">
      <c r="A22" s="1">
        <v>14</v>
      </c>
      <c r="B22" s="4">
        <f>IPMT(0.195%,14,30,300000,)</f>
        <v>-335.69192661646485</v>
      </c>
      <c r="C22" s="4">
        <f>PPMT(0.195%,14,30,300000,)</f>
        <v>-9969.4038435746825</v>
      </c>
      <c r="D22" s="5">
        <v>162180.29999999999</v>
      </c>
      <c r="E22" s="4">
        <f t="shared" si="0"/>
        <v>-10305.095770191147</v>
      </c>
      <c r="H22" s="4"/>
    </row>
    <row r="23" spans="1:8" ht="15.75" customHeight="1" x14ac:dyDescent="0.3">
      <c r="A23" s="1">
        <v>15</v>
      </c>
      <c r="B23" s="4">
        <f>IPMT(0.195%,15,30,300000,)</f>
        <v>-316.25158912149431</v>
      </c>
      <c r="C23" s="4">
        <f>PPMT(0.195%,15,30,300000,)</f>
        <v>-9988.8441810696531</v>
      </c>
      <c r="D23" s="5">
        <v>152191.46</v>
      </c>
      <c r="E23" s="4">
        <f t="shared" si="0"/>
        <v>-10305.095770191147</v>
      </c>
      <c r="H23" s="4"/>
    </row>
    <row r="24" spans="1:8" ht="15.75" customHeight="1" x14ac:dyDescent="0.3">
      <c r="A24" s="1">
        <v>16</v>
      </c>
      <c r="B24" s="4">
        <f>IPMT(0.195%,16,30,300000,)</f>
        <v>-296.77334296840849</v>
      </c>
      <c r="C24" s="4">
        <f>PPMT(0.195%,16,30,300000,)</f>
        <v>-10008.322427222738</v>
      </c>
      <c r="D24" s="5">
        <v>142183.14000000001</v>
      </c>
      <c r="E24" s="4">
        <f t="shared" si="0"/>
        <v>-10305.095770191147</v>
      </c>
      <c r="H24" s="4"/>
    </row>
    <row r="25" spans="1:8" ht="15.75" customHeight="1" x14ac:dyDescent="0.3">
      <c r="A25" s="1">
        <v>17</v>
      </c>
      <c r="B25" s="4">
        <f>IPMT(0.195%,17,30,300000,)</f>
        <v>-277.25711423532414</v>
      </c>
      <c r="C25" s="4">
        <f>PPMT(0.195%,17,30,300000,)</f>
        <v>-10027.838655955822</v>
      </c>
      <c r="D25" s="5">
        <v>132155.29999999999</v>
      </c>
      <c r="E25" s="4">
        <f t="shared" si="0"/>
        <v>-10305.095770191147</v>
      </c>
      <c r="H25" s="4"/>
    </row>
    <row r="26" spans="1:8" ht="15.75" customHeight="1" x14ac:dyDescent="0.3">
      <c r="A26" s="1">
        <v>18</v>
      </c>
      <c r="B26" s="4">
        <f>IPMT(0.195%,18,30,300000,)</f>
        <v>-257.7028288562102</v>
      </c>
      <c r="C26" s="4">
        <f>PPMT(0.195%,18,30,300000,)</f>
        <v>-10047.392941334936</v>
      </c>
      <c r="D26" s="5">
        <v>122107.91</v>
      </c>
      <c r="E26" s="4">
        <f t="shared" si="0"/>
        <v>-10305.095770191147</v>
      </c>
      <c r="H26" s="4"/>
    </row>
    <row r="27" spans="1:8" ht="15.75" customHeight="1" x14ac:dyDescent="0.3">
      <c r="A27" s="1">
        <v>19</v>
      </c>
      <c r="B27" s="4">
        <f>IPMT(0.195%,19,30,300000,)</f>
        <v>-238.11041262060712</v>
      </c>
      <c r="C27" s="4">
        <f>PPMT(0.195%,19,30,300000,)</f>
        <v>-10066.985357570538</v>
      </c>
      <c r="D27" s="5">
        <v>112040.92</v>
      </c>
      <c r="E27" s="4">
        <f t="shared" si="0"/>
        <v>-10305.095770191147</v>
      </c>
      <c r="H27" s="4"/>
    </row>
    <row r="28" spans="1:8" ht="15.75" customHeight="1" x14ac:dyDescent="0.3">
      <c r="A28" s="1">
        <v>20</v>
      </c>
      <c r="B28" s="4">
        <f>IPMT(0.195%,20,30,300000,)</f>
        <v>-218.47979117334461</v>
      </c>
      <c r="C28" s="4">
        <f>PPMT(0.195%,20,30,300000,)</f>
        <v>-10086.615979017803</v>
      </c>
      <c r="D28" s="5">
        <v>101954.3</v>
      </c>
      <c r="E28" s="4">
        <f t="shared" si="0"/>
        <v>-10305.095770191147</v>
      </c>
      <c r="H28" s="4"/>
    </row>
    <row r="29" spans="1:8" ht="15.75" customHeight="1" x14ac:dyDescent="0.3">
      <c r="A29" s="1">
        <v>21</v>
      </c>
      <c r="B29" s="4">
        <f>IPMT(0.195%,21,30,300000,)</f>
        <v>-198.81089001425985</v>
      </c>
      <c r="C29" s="4">
        <f>PPMT(0.195%,21,30,300000,)</f>
        <v>-10106.284880176887</v>
      </c>
      <c r="D29" s="5">
        <v>91848.02</v>
      </c>
      <c r="E29" s="4">
        <f t="shared" si="0"/>
        <v>-10305.095770191147</v>
      </c>
      <c r="H29" s="4"/>
    </row>
    <row r="30" spans="1:8" ht="15.75" customHeight="1" x14ac:dyDescent="0.3">
      <c r="A30" s="1">
        <v>22</v>
      </c>
      <c r="B30" s="4">
        <f>IPMT(0.195%,22,30,300000,)</f>
        <v>-179.1036344979149</v>
      </c>
      <c r="C30" s="4">
        <f>PPMT(0.195%,22,30,300000,)</f>
        <v>-10125.992135693232</v>
      </c>
      <c r="D30" s="5">
        <v>81722.03</v>
      </c>
      <c r="E30" s="4">
        <f t="shared" si="0"/>
        <v>-10305.095770191147</v>
      </c>
      <c r="H30" s="4"/>
    </row>
    <row r="31" spans="1:8" ht="15.75" customHeight="1" x14ac:dyDescent="0.3">
      <c r="A31" s="1">
        <v>23</v>
      </c>
      <c r="B31" s="4">
        <f>IPMT(0.195%,23,30,300000,)</f>
        <v>-159.35794983331311</v>
      </c>
      <c r="C31" s="4">
        <f>PPMT(0.195%,23,30,300000,)</f>
        <v>-10145.737820357834</v>
      </c>
      <c r="D31" s="5">
        <v>71576.289999999994</v>
      </c>
      <c r="E31" s="4">
        <f t="shared" si="0"/>
        <v>-10305.095770191147</v>
      </c>
      <c r="H31" s="4"/>
    </row>
    <row r="32" spans="1:8" ht="15.75" customHeight="1" x14ac:dyDescent="0.3">
      <c r="A32" s="1">
        <v>24</v>
      </c>
      <c r="B32" s="4">
        <f>IPMT(0.195%,24,30,300000,)</f>
        <v>-139.57376108361532</v>
      </c>
      <c r="C32" s="4">
        <f>PPMT(0.195%,24,30,300000,)</f>
        <v>-10165.522009107532</v>
      </c>
      <c r="D32" s="5">
        <v>61410.77</v>
      </c>
      <c r="E32" s="4">
        <f t="shared" si="0"/>
        <v>-10305.095770191147</v>
      </c>
      <c r="H32" s="4"/>
    </row>
    <row r="33" spans="1:8" ht="15.75" customHeight="1" x14ac:dyDescent="0.3">
      <c r="A33" s="1">
        <v>25</v>
      </c>
      <c r="B33" s="4">
        <f>IPMT(0.195%,25,30,300000,)</f>
        <v>-119.75099316585565</v>
      </c>
      <c r="C33" s="4">
        <f>PPMT(0.195%,25,30,300000,)</f>
        <v>-10185.344777025291</v>
      </c>
      <c r="D33" s="5">
        <v>51225.43</v>
      </c>
      <c r="E33" s="4">
        <f t="shared" si="0"/>
        <v>-10305.095770191147</v>
      </c>
      <c r="H33" s="4"/>
    </row>
    <row r="34" spans="1:8" ht="15.75" customHeight="1" x14ac:dyDescent="0.3">
      <c r="A34" s="1">
        <v>26</v>
      </c>
      <c r="B34" s="4">
        <f>IPMT(0.195%,26,30,300000,)</f>
        <v>-99.889570850656327</v>
      </c>
      <c r="C34" s="4">
        <f>PPMT(0.195%,26,30,300000,)</f>
        <v>-10205.20619934049</v>
      </c>
      <c r="D34" s="5">
        <v>41020.22</v>
      </c>
      <c r="E34" s="4">
        <f t="shared" si="0"/>
        <v>-10305.095770191147</v>
      </c>
      <c r="H34" s="4"/>
    </row>
    <row r="35" spans="1:8" ht="15.75" customHeight="1" x14ac:dyDescent="0.3">
      <c r="A35" s="1">
        <v>27</v>
      </c>
      <c r="B35" s="4">
        <f>IPMT(0.195%,27,30,300000,)</f>
        <v>-79.989418761942389</v>
      </c>
      <c r="C35" s="4">
        <f>PPMT(0.195%,27,30,300000,)</f>
        <v>-10225.106351429204</v>
      </c>
      <c r="D35" s="5">
        <v>30794.89</v>
      </c>
      <c r="E35" s="4">
        <f t="shared" si="0"/>
        <v>-10305.095770191147</v>
      </c>
    </row>
    <row r="36" spans="1:8" ht="15.75" customHeight="1" x14ac:dyDescent="0.3">
      <c r="A36" s="1">
        <v>28</v>
      </c>
      <c r="B36" s="4">
        <f>IPMT(0.195%,28,30,300000,)</f>
        <v>-60.05046137665542</v>
      </c>
      <c r="C36" s="4">
        <f>PPMT(0.195%,28,30,300000,)</f>
        <v>-10245.045308814491</v>
      </c>
      <c r="D36" s="5">
        <v>20549.84</v>
      </c>
      <c r="E36" s="4">
        <f t="shared" si="0"/>
        <v>-10305.095770191147</v>
      </c>
    </row>
    <row r="37" spans="1:8" ht="15.75" customHeight="1" x14ac:dyDescent="0.3">
      <c r="A37" s="1">
        <v>29</v>
      </c>
      <c r="B37" s="4">
        <f>IPMT(0.195%,29,30,300000,)</f>
        <v>-40.072623024467156</v>
      </c>
      <c r="C37" s="4">
        <f>PPMT(0.195%,29,30,300000,)</f>
        <v>-10265.023147166679</v>
      </c>
      <c r="D37" s="5">
        <v>10285.040000000001</v>
      </c>
      <c r="E37" s="4">
        <f t="shared" si="0"/>
        <v>-10305.095770191147</v>
      </c>
    </row>
    <row r="38" spans="1:8" ht="15.75" customHeight="1" x14ac:dyDescent="0.3">
      <c r="A38" s="1">
        <v>30</v>
      </c>
      <c r="B38" s="4">
        <f>IPMT(0.195%,30,30,300000,)</f>
        <v>-20.055827887492132</v>
      </c>
      <c r="C38" s="4">
        <f>PPMT(0.195%,30,30,300000,)</f>
        <v>-10285.039942303654</v>
      </c>
      <c r="D38" s="1">
        <v>0</v>
      </c>
      <c r="E38" s="4">
        <f t="shared" si="0"/>
        <v>-10305.095770191147</v>
      </c>
    </row>
    <row r="39" spans="1:8" ht="15.75" customHeight="1" x14ac:dyDescent="0.3">
      <c r="C39" s="4"/>
      <c r="E39" s="4"/>
    </row>
    <row r="40" spans="1:8" ht="15.75" customHeight="1" x14ac:dyDescent="0.3"/>
    <row r="41" spans="1:8" ht="15.75" customHeight="1" x14ac:dyDescent="0.3"/>
    <row r="42" spans="1:8" ht="15.75" customHeight="1" x14ac:dyDescent="0.3"/>
    <row r="43" spans="1:8" ht="15.75" customHeight="1" x14ac:dyDescent="0.3"/>
    <row r="44" spans="1:8" ht="15.75" customHeight="1" x14ac:dyDescent="0.3"/>
    <row r="45" spans="1:8" ht="15.75" customHeight="1" x14ac:dyDescent="0.3"/>
    <row r="46" spans="1:8" ht="15.75" customHeight="1" x14ac:dyDescent="0.3"/>
    <row r="47" spans="1:8" ht="15.75" customHeight="1" x14ac:dyDescent="0.3"/>
    <row r="48" spans="1: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</sheetData>
  <mergeCells count="1">
    <mergeCell ref="D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Παναγιωτης Κωστ.</dc:creator>
  <cp:keywords/>
  <dc:description/>
  <cp:lastModifiedBy>Παναγιωτης Κωστ.</cp:lastModifiedBy>
  <cp:revision/>
  <dcterms:created xsi:type="dcterms:W3CDTF">2024-03-26T13:40:53Z</dcterms:created>
  <dcterms:modified xsi:type="dcterms:W3CDTF">2026-08-11T08:45:47Z</dcterms:modified>
  <cp:category/>
  <cp:contentStatus/>
</cp:coreProperties>
</file>