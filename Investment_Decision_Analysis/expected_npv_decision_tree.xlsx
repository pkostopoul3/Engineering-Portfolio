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7aec70558032046/Υπολογιστής/Investment_Decision_Analysis/"/>
    </mc:Choice>
  </mc:AlternateContent>
  <xr:revisionPtr revIDLastSave="0" documentId="8_{003622C7-E450-4CF4-AAC4-A97EF1FDC8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Άσκηση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4" i="1"/>
  <c r="C40" i="1"/>
  <c r="E46" i="1"/>
  <c r="B59" i="1" s="1"/>
  <c r="E47" i="1"/>
  <c r="B60" i="1" s="1"/>
  <c r="E48" i="1"/>
  <c r="B61" i="1" s="1"/>
  <c r="E49" i="1"/>
  <c r="B62" i="1" s="1"/>
  <c r="E50" i="1"/>
  <c r="B63" i="1" s="1"/>
  <c r="E51" i="1"/>
  <c r="B64" i="1" s="1"/>
  <c r="E52" i="1"/>
  <c r="B65" i="1" s="1"/>
  <c r="E53" i="1"/>
  <c r="B66" i="1" s="1"/>
  <c r="E45" i="1"/>
  <c r="B58" i="1" s="1"/>
  <c r="C66" i="1"/>
  <c r="C39" i="1"/>
  <c r="C65" i="1" s="1"/>
  <c r="C37" i="1"/>
  <c r="C63" i="1" s="1"/>
  <c r="C36" i="1"/>
  <c r="C62" i="1" s="1"/>
  <c r="C35" i="1"/>
  <c r="C61" i="1" s="1"/>
  <c r="C60" i="1"/>
  <c r="C59" i="1"/>
  <c r="C38" i="1"/>
  <c r="C64" i="1" s="1"/>
  <c r="C32" i="1"/>
  <c r="C58" i="1" s="1"/>
  <c r="D58" i="1" l="1"/>
  <c r="D66" i="1"/>
  <c r="D65" i="1"/>
  <c r="D64" i="1"/>
  <c r="D63" i="1"/>
  <c r="D62" i="1"/>
  <c r="D61" i="1"/>
  <c r="D60" i="1"/>
  <c r="D59" i="1"/>
  <c r="D69" i="1" l="1"/>
</calcChain>
</file>

<file path=xl/sharedStrings.xml><?xml version="1.0" encoding="utf-8"?>
<sst xmlns="http://schemas.openxmlformats.org/spreadsheetml/2006/main" count="45" uniqueCount="34">
  <si>
    <t>Επένδυση</t>
  </si>
  <si>
    <t>Ωφέλιμη Διάρκεια</t>
  </si>
  <si>
    <t>Κόστος Κεφαλαίου</t>
  </si>
  <si>
    <t>Καθαρές Ταμειακές Ροές</t>
  </si>
  <si>
    <t>Περίπτωση Α</t>
  </si>
  <si>
    <t>Περίπτωση Β</t>
  </si>
  <si>
    <t>Περίπτωση Γ</t>
  </si>
  <si>
    <t>Έτη</t>
  </si>
  <si>
    <t>Ποσό</t>
  </si>
  <si>
    <t>Πιθανότητα</t>
  </si>
  <si>
    <t>1ο</t>
  </si>
  <si>
    <t>2ο (α)</t>
  </si>
  <si>
    <t>2ο (β)</t>
  </si>
  <si>
    <t>2ο (γ)</t>
  </si>
  <si>
    <t>Δέντρο Απόφασης</t>
  </si>
  <si>
    <t>Α/Α</t>
  </si>
  <si>
    <t>ΤP 1ου Έτους</t>
  </si>
  <si>
    <t>Υπό Συνθήκη Πιθανότητα</t>
  </si>
  <si>
    <t>TP 2oυ Έτους</t>
  </si>
  <si>
    <t>Υπολογισμός ΚΠΑ</t>
  </si>
  <si>
    <t>ΚΠΑ (1)</t>
  </si>
  <si>
    <t>ΚΠΑ (2)</t>
  </si>
  <si>
    <t>ΚΠΑ (3)</t>
  </si>
  <si>
    <t>ΚΠΑ (4)</t>
  </si>
  <si>
    <t>ΚΠΑ (5)</t>
  </si>
  <si>
    <t>ΚΠΑ (6)</t>
  </si>
  <si>
    <t>ΚΠΑ (7)</t>
  </si>
  <si>
    <t>ΚΠΑ (8)</t>
  </si>
  <si>
    <t>ΚΠΑ (9)</t>
  </si>
  <si>
    <t>Υπολογισμός Σύνθετης Πιθανότητας</t>
  </si>
  <si>
    <t>Σύνθετη Πιθανότητα</t>
  </si>
  <si>
    <t>Υπολογισμός Ε(ΚΠΑ)</t>
  </si>
  <si>
    <t>ΚΠΑ</t>
  </si>
  <si>
    <t>Ε(ΚΠΑ)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</si>
</sst>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Medium9"/>
  <colors>
    <mruColors>
      <color rgb="FFF56464"/>
      <color rgb="FFE04141"/>
      <color rgb="FFF2D1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24</xdr:row>
      <xdr:rowOff>85725</xdr:rowOff>
    </xdr:from>
    <xdr:to>
      <xdr:col>8</xdr:col>
      <xdr:colOff>333375</xdr:colOff>
      <xdr:row>28</xdr:row>
      <xdr:rowOff>28575</xdr:rowOff>
    </xdr:to>
    <xdr:sp macro="" textlink="">
      <xdr:nvSpPr>
        <xdr:cNvPr id="19" name="Στρογγυλοποιημένο ορθογώνιο 18">
          <a:extLst>
            <a:ext uri="{FF2B5EF4-FFF2-40B4-BE49-F238E27FC236}">
              <a16:creationId xmlns:a16="http://schemas.microsoft.com/office/drawing/2014/main" id="{745A066A-F62F-A5E4-4110-1DBF825334BC}"/>
            </a:ext>
          </a:extLst>
        </xdr:cNvPr>
        <xdr:cNvSpPr/>
      </xdr:nvSpPr>
      <xdr:spPr>
        <a:xfrm>
          <a:off x="10448925" y="4962525"/>
          <a:ext cx="1428750" cy="7429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-125.000</a:t>
          </a:r>
        </a:p>
      </xdr:txBody>
    </xdr:sp>
    <xdr:clientData/>
  </xdr:twoCellAnchor>
  <xdr:twoCellAnchor>
    <xdr:from>
      <xdr:col>9</xdr:col>
      <xdr:colOff>466725</xdr:colOff>
      <xdr:row>13</xdr:row>
      <xdr:rowOff>161925</xdr:rowOff>
    </xdr:from>
    <xdr:to>
      <xdr:col>10</xdr:col>
      <xdr:colOff>581025</xdr:colOff>
      <xdr:row>16</xdr:row>
      <xdr:rowOff>104775</xdr:rowOff>
    </xdr:to>
    <xdr:sp macro="" textlink="">
      <xdr:nvSpPr>
        <xdr:cNvPr id="4" name="Στρογγυλοποιημένο ορθογώνιο 3">
          <a:extLst>
            <a:ext uri="{FF2B5EF4-FFF2-40B4-BE49-F238E27FC236}">
              <a16:creationId xmlns:a16="http://schemas.microsoft.com/office/drawing/2014/main" id="{35085455-4BDD-4E48-B305-296C91C06DD1}"/>
            </a:ext>
            <a:ext uri="{147F2762-F138-4A5C-976F-8EAC2B608ADB}">
              <a16:predDERef xmlns:a16="http://schemas.microsoft.com/office/drawing/2014/main" pred="{745A066A-F62F-A5E4-4110-1DBF825334BC}"/>
            </a:ext>
          </a:extLst>
        </xdr:cNvPr>
        <xdr:cNvSpPr/>
      </xdr:nvSpPr>
      <xdr:spPr>
        <a:xfrm>
          <a:off x="13573125" y="2800350"/>
          <a:ext cx="1123950" cy="542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45.000</a:t>
          </a:r>
        </a:p>
      </xdr:txBody>
    </xdr:sp>
    <xdr:clientData/>
  </xdr:twoCellAnchor>
  <xdr:twoCellAnchor>
    <xdr:from>
      <xdr:col>9</xdr:col>
      <xdr:colOff>523875</xdr:colOff>
      <xdr:row>24</xdr:row>
      <xdr:rowOff>152400</xdr:rowOff>
    </xdr:from>
    <xdr:to>
      <xdr:col>10</xdr:col>
      <xdr:colOff>638175</xdr:colOff>
      <xdr:row>27</xdr:row>
      <xdr:rowOff>142875</xdr:rowOff>
    </xdr:to>
    <xdr:sp macro="" textlink="">
      <xdr:nvSpPr>
        <xdr:cNvPr id="5" name="Στρογγυλοποιημένο ορθογώνιο 4">
          <a:extLst>
            <a:ext uri="{FF2B5EF4-FFF2-40B4-BE49-F238E27FC236}">
              <a16:creationId xmlns:a16="http://schemas.microsoft.com/office/drawing/2014/main" id="{DC430F63-7475-42C9-9B68-9840DB6BDEC7}"/>
            </a:ext>
            <a:ext uri="{147F2762-F138-4A5C-976F-8EAC2B608ADB}">
              <a16:predDERef xmlns:a16="http://schemas.microsoft.com/office/drawing/2014/main" pred="{35085455-4BDD-4E48-B305-296C91C06DD1}"/>
            </a:ext>
          </a:extLst>
        </xdr:cNvPr>
        <xdr:cNvSpPr/>
      </xdr:nvSpPr>
      <xdr:spPr>
        <a:xfrm>
          <a:off x="13630275" y="5029200"/>
          <a:ext cx="1123950" cy="590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65.000</a:t>
          </a:r>
        </a:p>
      </xdr:txBody>
    </xdr:sp>
    <xdr:clientData/>
  </xdr:twoCellAnchor>
  <xdr:twoCellAnchor>
    <xdr:from>
      <xdr:col>9</xdr:col>
      <xdr:colOff>504825</xdr:colOff>
      <xdr:row>38</xdr:row>
      <xdr:rowOff>104775</xdr:rowOff>
    </xdr:from>
    <xdr:to>
      <xdr:col>10</xdr:col>
      <xdr:colOff>619125</xdr:colOff>
      <xdr:row>41</xdr:row>
      <xdr:rowOff>95250</xdr:rowOff>
    </xdr:to>
    <xdr:sp macro="" textlink="">
      <xdr:nvSpPr>
        <xdr:cNvPr id="8" name="Στρογγυλοποιημένο ορθογώνιο 7">
          <a:extLst>
            <a:ext uri="{FF2B5EF4-FFF2-40B4-BE49-F238E27FC236}">
              <a16:creationId xmlns:a16="http://schemas.microsoft.com/office/drawing/2014/main" id="{E279DEDA-95A6-4672-9960-30CB0FF3C108}"/>
            </a:ext>
            <a:ext uri="{147F2762-F138-4A5C-976F-8EAC2B608ADB}">
              <a16:predDERef xmlns:a16="http://schemas.microsoft.com/office/drawing/2014/main" pred="{DC430F63-7475-42C9-9B68-9840DB6BDEC7}"/>
            </a:ext>
          </a:extLst>
        </xdr:cNvPr>
        <xdr:cNvSpPr/>
      </xdr:nvSpPr>
      <xdr:spPr>
        <a:xfrm>
          <a:off x="13611225" y="7820025"/>
          <a:ext cx="1123950" cy="590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90.000</a:t>
          </a:r>
        </a:p>
      </xdr:txBody>
    </xdr:sp>
    <xdr:clientData/>
  </xdr:twoCellAnchor>
  <xdr:twoCellAnchor>
    <xdr:from>
      <xdr:col>12</xdr:col>
      <xdr:colOff>0</xdr:colOff>
      <xdr:row>10</xdr:row>
      <xdr:rowOff>95250</xdr:rowOff>
    </xdr:from>
    <xdr:to>
      <xdr:col>12</xdr:col>
      <xdr:colOff>1123950</xdr:colOff>
      <xdr:row>12</xdr:row>
      <xdr:rowOff>19050</xdr:rowOff>
    </xdr:to>
    <xdr:sp macro="" textlink="">
      <xdr:nvSpPr>
        <xdr:cNvPr id="9" name="Στρογγυλοποιημένο ορθογώνιο 8">
          <a:extLst>
            <a:ext uri="{FF2B5EF4-FFF2-40B4-BE49-F238E27FC236}">
              <a16:creationId xmlns:a16="http://schemas.microsoft.com/office/drawing/2014/main" id="{05E024A2-9FC2-4188-8D14-C9A4D72D5CEC}"/>
            </a:ext>
            <a:ext uri="{147F2762-F138-4A5C-976F-8EAC2B608ADB}">
              <a16:predDERef xmlns:a16="http://schemas.microsoft.com/office/drawing/2014/main" pred="{E279DEDA-95A6-4672-9960-30CB0FF3C108}"/>
            </a:ext>
          </a:extLst>
        </xdr:cNvPr>
        <xdr:cNvSpPr/>
      </xdr:nvSpPr>
      <xdr:spPr>
        <a:xfrm>
          <a:off x="16268700" y="2133600"/>
          <a:ext cx="1123950" cy="323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30.000</a:t>
          </a:r>
        </a:p>
      </xdr:txBody>
    </xdr:sp>
    <xdr:clientData/>
  </xdr:twoCellAnchor>
  <xdr:twoCellAnchor>
    <xdr:from>
      <xdr:col>12</xdr:col>
      <xdr:colOff>0</xdr:colOff>
      <xdr:row>14</xdr:row>
      <xdr:rowOff>57150</xdr:rowOff>
    </xdr:from>
    <xdr:to>
      <xdr:col>12</xdr:col>
      <xdr:colOff>1123950</xdr:colOff>
      <xdr:row>15</xdr:row>
      <xdr:rowOff>180975</xdr:rowOff>
    </xdr:to>
    <xdr:sp macro="" textlink="">
      <xdr:nvSpPr>
        <xdr:cNvPr id="10" name="Στρογγυλοποιημένο ορθογώνιο 9">
          <a:extLst>
            <a:ext uri="{FF2B5EF4-FFF2-40B4-BE49-F238E27FC236}">
              <a16:creationId xmlns:a16="http://schemas.microsoft.com/office/drawing/2014/main" id="{2B414F42-9152-477A-91DA-E1D668FD2519}"/>
            </a:ext>
            <a:ext uri="{147F2762-F138-4A5C-976F-8EAC2B608ADB}">
              <a16:predDERef xmlns:a16="http://schemas.microsoft.com/office/drawing/2014/main" pred="{05E024A2-9FC2-4188-8D14-C9A4D72D5CEC}"/>
            </a:ext>
          </a:extLst>
        </xdr:cNvPr>
        <xdr:cNvSpPr/>
      </xdr:nvSpPr>
      <xdr:spPr>
        <a:xfrm>
          <a:off x="16268700" y="2895600"/>
          <a:ext cx="1123950" cy="323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60.000</a:t>
          </a:r>
        </a:p>
      </xdr:txBody>
    </xdr:sp>
    <xdr:clientData/>
  </xdr:twoCellAnchor>
  <xdr:twoCellAnchor>
    <xdr:from>
      <xdr:col>12</xdr:col>
      <xdr:colOff>0</xdr:colOff>
      <xdr:row>17</xdr:row>
      <xdr:rowOff>190500</xdr:rowOff>
    </xdr:from>
    <xdr:to>
      <xdr:col>12</xdr:col>
      <xdr:colOff>1152525</xdr:colOff>
      <xdr:row>19</xdr:row>
      <xdr:rowOff>114300</xdr:rowOff>
    </xdr:to>
    <xdr:sp macro="" textlink="">
      <xdr:nvSpPr>
        <xdr:cNvPr id="11" name="Στρογγυλοποιημένο ορθογώνιο 10">
          <a:extLst>
            <a:ext uri="{FF2B5EF4-FFF2-40B4-BE49-F238E27FC236}">
              <a16:creationId xmlns:a16="http://schemas.microsoft.com/office/drawing/2014/main" id="{01C19A60-2D7E-4989-BCC3-6627E9FA7659}"/>
            </a:ext>
            <a:ext uri="{147F2762-F138-4A5C-976F-8EAC2B608ADB}">
              <a16:predDERef xmlns:a16="http://schemas.microsoft.com/office/drawing/2014/main" pred="{2B414F42-9152-477A-91DA-E1D668FD2519}"/>
            </a:ext>
          </a:extLst>
        </xdr:cNvPr>
        <xdr:cNvSpPr/>
      </xdr:nvSpPr>
      <xdr:spPr>
        <a:xfrm>
          <a:off x="16268700" y="3667125"/>
          <a:ext cx="1152525" cy="323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90.000</a:t>
          </a:r>
        </a:p>
      </xdr:txBody>
    </xdr:sp>
    <xdr:clientData/>
  </xdr:twoCellAnchor>
  <xdr:twoCellAnchor>
    <xdr:from>
      <xdr:col>12</xdr:col>
      <xdr:colOff>19050</xdr:colOff>
      <xdr:row>21</xdr:row>
      <xdr:rowOff>180975</xdr:rowOff>
    </xdr:from>
    <xdr:to>
      <xdr:col>12</xdr:col>
      <xdr:colOff>1123950</xdr:colOff>
      <xdr:row>23</xdr:row>
      <xdr:rowOff>104775</xdr:rowOff>
    </xdr:to>
    <xdr:sp macro="" textlink="">
      <xdr:nvSpPr>
        <xdr:cNvPr id="12" name="Στρογγυλοποιημένο ορθογώνιο 11">
          <a:extLst>
            <a:ext uri="{FF2B5EF4-FFF2-40B4-BE49-F238E27FC236}">
              <a16:creationId xmlns:a16="http://schemas.microsoft.com/office/drawing/2014/main" id="{37EF1DDA-EB98-4E2A-A590-C5187C0B0C8A}"/>
            </a:ext>
            <a:ext uri="{147F2762-F138-4A5C-976F-8EAC2B608ADB}">
              <a16:predDERef xmlns:a16="http://schemas.microsoft.com/office/drawing/2014/main" pred="{01C19A60-2D7E-4989-BCC3-6627E9FA7659}"/>
            </a:ext>
          </a:extLst>
        </xdr:cNvPr>
        <xdr:cNvSpPr/>
      </xdr:nvSpPr>
      <xdr:spPr>
        <a:xfrm>
          <a:off x="16287750" y="4457700"/>
          <a:ext cx="1104900" cy="323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80.000</a:t>
          </a:r>
        </a:p>
      </xdr:txBody>
    </xdr:sp>
    <xdr:clientData/>
  </xdr:twoCellAnchor>
  <xdr:twoCellAnchor>
    <xdr:from>
      <xdr:col>12</xdr:col>
      <xdr:colOff>28575</xdr:colOff>
      <xdr:row>25</xdr:row>
      <xdr:rowOff>85725</xdr:rowOff>
    </xdr:from>
    <xdr:to>
      <xdr:col>12</xdr:col>
      <xdr:colOff>1152525</xdr:colOff>
      <xdr:row>27</xdr:row>
      <xdr:rowOff>9525</xdr:rowOff>
    </xdr:to>
    <xdr:sp macro="" textlink="">
      <xdr:nvSpPr>
        <xdr:cNvPr id="13" name="Στρογγυλοποιημένο ορθογώνιο 12">
          <a:extLst>
            <a:ext uri="{FF2B5EF4-FFF2-40B4-BE49-F238E27FC236}">
              <a16:creationId xmlns:a16="http://schemas.microsoft.com/office/drawing/2014/main" id="{AB2757C8-DB95-4C67-83D2-ED6241D7D915}"/>
            </a:ext>
            <a:ext uri="{147F2762-F138-4A5C-976F-8EAC2B608ADB}">
              <a16:predDERef xmlns:a16="http://schemas.microsoft.com/office/drawing/2014/main" pred="{37EF1DDA-EB98-4E2A-A590-C5187C0B0C8A}"/>
            </a:ext>
          </a:extLst>
        </xdr:cNvPr>
        <xdr:cNvSpPr/>
      </xdr:nvSpPr>
      <xdr:spPr>
        <a:xfrm>
          <a:off x="16297275" y="5162550"/>
          <a:ext cx="1123950" cy="323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90.000</a:t>
          </a:r>
        </a:p>
      </xdr:txBody>
    </xdr:sp>
    <xdr:clientData/>
  </xdr:twoCellAnchor>
  <xdr:twoCellAnchor>
    <xdr:from>
      <xdr:col>12</xdr:col>
      <xdr:colOff>38100</xdr:colOff>
      <xdr:row>29</xdr:row>
      <xdr:rowOff>104775</xdr:rowOff>
    </xdr:from>
    <xdr:to>
      <xdr:col>12</xdr:col>
      <xdr:colOff>1162050</xdr:colOff>
      <xdr:row>30</xdr:row>
      <xdr:rowOff>228600</xdr:rowOff>
    </xdr:to>
    <xdr:sp macro="" textlink="">
      <xdr:nvSpPr>
        <xdr:cNvPr id="14" name="Στρογγυλοποιημένο ορθογώνιο 13">
          <a:extLst>
            <a:ext uri="{FF2B5EF4-FFF2-40B4-BE49-F238E27FC236}">
              <a16:creationId xmlns:a16="http://schemas.microsoft.com/office/drawing/2014/main" id="{8E21D8EA-82BB-401B-905F-A9B0010F0EAB}"/>
            </a:ext>
            <a:ext uri="{147F2762-F138-4A5C-976F-8EAC2B608ADB}">
              <a16:predDERef xmlns:a16="http://schemas.microsoft.com/office/drawing/2014/main" pred="{AB2757C8-DB95-4C67-83D2-ED6241D7D915}"/>
            </a:ext>
          </a:extLst>
        </xdr:cNvPr>
        <xdr:cNvSpPr/>
      </xdr:nvSpPr>
      <xdr:spPr>
        <a:xfrm>
          <a:off x="16306800" y="5981700"/>
          <a:ext cx="1123950" cy="323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100.000</a:t>
          </a:r>
        </a:p>
      </xdr:txBody>
    </xdr:sp>
    <xdr:clientData/>
  </xdr:twoCellAnchor>
  <xdr:twoCellAnchor>
    <xdr:from>
      <xdr:col>12</xdr:col>
      <xdr:colOff>0</xdr:colOff>
      <xdr:row>35</xdr:row>
      <xdr:rowOff>0</xdr:rowOff>
    </xdr:from>
    <xdr:to>
      <xdr:col>12</xdr:col>
      <xdr:colOff>1123950</xdr:colOff>
      <xdr:row>36</xdr:row>
      <xdr:rowOff>123825</xdr:rowOff>
    </xdr:to>
    <xdr:sp macro="" textlink="">
      <xdr:nvSpPr>
        <xdr:cNvPr id="15" name="Στρογγυλοποιημένο ορθογώνιο 14">
          <a:extLst>
            <a:ext uri="{FF2B5EF4-FFF2-40B4-BE49-F238E27FC236}">
              <a16:creationId xmlns:a16="http://schemas.microsoft.com/office/drawing/2014/main" id="{A1603196-7298-4D09-BB74-E629B1319892}"/>
            </a:ext>
            <a:ext uri="{147F2762-F138-4A5C-976F-8EAC2B608ADB}">
              <a16:predDERef xmlns:a16="http://schemas.microsoft.com/office/drawing/2014/main" pred="{8E21D8EA-82BB-401B-905F-A9B0010F0EAB}"/>
            </a:ext>
          </a:extLst>
        </xdr:cNvPr>
        <xdr:cNvSpPr/>
      </xdr:nvSpPr>
      <xdr:spPr>
        <a:xfrm>
          <a:off x="16268700" y="7115175"/>
          <a:ext cx="1123950" cy="323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90.000</a:t>
          </a:r>
        </a:p>
      </xdr:txBody>
    </xdr:sp>
    <xdr:clientData/>
  </xdr:twoCellAnchor>
  <xdr:twoCellAnchor>
    <xdr:from>
      <xdr:col>12</xdr:col>
      <xdr:colOff>9525</xdr:colOff>
      <xdr:row>39</xdr:row>
      <xdr:rowOff>28575</xdr:rowOff>
    </xdr:from>
    <xdr:to>
      <xdr:col>12</xdr:col>
      <xdr:colOff>1133475</xdr:colOff>
      <xdr:row>40</xdr:row>
      <xdr:rowOff>152400</xdr:rowOff>
    </xdr:to>
    <xdr:sp macro="" textlink="">
      <xdr:nvSpPr>
        <xdr:cNvPr id="16" name="Στρογγυλοποιημένο ορθογώνιο 15">
          <a:extLst>
            <a:ext uri="{FF2B5EF4-FFF2-40B4-BE49-F238E27FC236}">
              <a16:creationId xmlns:a16="http://schemas.microsoft.com/office/drawing/2014/main" id="{A20CC4CA-9819-4726-8C32-2AEDDB7D2D6D}"/>
            </a:ext>
            <a:ext uri="{147F2762-F138-4A5C-976F-8EAC2B608ADB}">
              <a16:predDERef xmlns:a16="http://schemas.microsoft.com/office/drawing/2014/main" pred="{A1603196-7298-4D09-BB74-E629B1319892}"/>
            </a:ext>
          </a:extLst>
        </xdr:cNvPr>
        <xdr:cNvSpPr/>
      </xdr:nvSpPr>
      <xdr:spPr>
        <a:xfrm>
          <a:off x="16278225" y="7943850"/>
          <a:ext cx="1123950" cy="323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100.000</a:t>
          </a:r>
        </a:p>
      </xdr:txBody>
    </xdr:sp>
    <xdr:clientData/>
  </xdr:twoCellAnchor>
  <xdr:twoCellAnchor>
    <xdr:from>
      <xdr:col>12</xdr:col>
      <xdr:colOff>0</xdr:colOff>
      <xdr:row>42</xdr:row>
      <xdr:rowOff>200025</xdr:rowOff>
    </xdr:from>
    <xdr:to>
      <xdr:col>12</xdr:col>
      <xdr:colOff>1123950</xdr:colOff>
      <xdr:row>44</xdr:row>
      <xdr:rowOff>85725</xdr:rowOff>
    </xdr:to>
    <xdr:sp macro="" textlink="">
      <xdr:nvSpPr>
        <xdr:cNvPr id="17" name="Στρογγυλοποιημένο ορθογώνιο 16">
          <a:extLst>
            <a:ext uri="{FF2B5EF4-FFF2-40B4-BE49-F238E27FC236}">
              <a16:creationId xmlns:a16="http://schemas.microsoft.com/office/drawing/2014/main" id="{0C8EA5E8-CD99-4D27-A710-584C5FB7331C}"/>
            </a:ext>
            <a:ext uri="{147F2762-F138-4A5C-976F-8EAC2B608ADB}">
              <a16:predDERef xmlns:a16="http://schemas.microsoft.com/office/drawing/2014/main" pred="{A20CC4CA-9819-4726-8C32-2AEDDB7D2D6D}"/>
            </a:ext>
          </a:extLst>
        </xdr:cNvPr>
        <xdr:cNvSpPr/>
      </xdr:nvSpPr>
      <xdr:spPr>
        <a:xfrm>
          <a:off x="16268700" y="8715375"/>
          <a:ext cx="1123950" cy="323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110.000</a:t>
          </a:r>
        </a:p>
      </xdr:txBody>
    </xdr:sp>
    <xdr:clientData/>
  </xdr:twoCellAnchor>
  <xdr:twoCellAnchor>
    <xdr:from>
      <xdr:col>8</xdr:col>
      <xdr:colOff>333375</xdr:colOff>
      <xdr:row>15</xdr:row>
      <xdr:rowOff>33338</xdr:rowOff>
    </xdr:from>
    <xdr:to>
      <xdr:col>9</xdr:col>
      <xdr:colOff>466725</xdr:colOff>
      <xdr:row>26</xdr:row>
      <xdr:rowOff>57150</xdr:rowOff>
    </xdr:to>
    <xdr:cxnSp macro="">
      <xdr:nvCxnSpPr>
        <xdr:cNvPr id="18" name="Ευθεία γραμμή σύνδεσης 17">
          <a:extLst>
            <a:ext uri="{FF2B5EF4-FFF2-40B4-BE49-F238E27FC236}">
              <a16:creationId xmlns:a16="http://schemas.microsoft.com/office/drawing/2014/main" id="{A0849F66-6908-91AE-99FA-928AEC1693DA}"/>
            </a:ext>
            <a:ext uri="{147F2762-F138-4A5C-976F-8EAC2B608ADB}">
              <a16:predDERef xmlns:a16="http://schemas.microsoft.com/office/drawing/2014/main" pred="{0C8EA5E8-CD99-4D27-A710-584C5FB7331C}"/>
            </a:ext>
          </a:extLst>
        </xdr:cNvPr>
        <xdr:cNvCxnSpPr>
          <a:cxnSpLocks/>
          <a:stCxn id="19" idx="3"/>
          <a:endCxn id="4" idx="1"/>
          <a:extLst>
            <a:ext uri="{5F17804C-33F3-41E3-A699-7DCFA2EF7971}">
              <a16:cxnDERefs xmlns:a16="http://schemas.microsoft.com/office/drawing/2014/main" st="{745A066A-F62F-A5E4-4110-1DBF825334BC}" end="{35085455-4BDD-4E48-B305-296C91C06DD1}"/>
            </a:ext>
          </a:extLst>
        </xdr:cNvCxnSpPr>
      </xdr:nvCxnSpPr>
      <xdr:spPr>
        <a:xfrm flipV="1">
          <a:off x="11877675" y="3071813"/>
          <a:ext cx="1695450" cy="22621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619125</xdr:colOff>
      <xdr:row>40</xdr:row>
      <xdr:rowOff>0</xdr:rowOff>
    </xdr:from>
    <xdr:to>
      <xdr:col>12</xdr:col>
      <xdr:colOff>0</xdr:colOff>
      <xdr:row>43</xdr:row>
      <xdr:rowOff>123825</xdr:rowOff>
    </xdr:to>
    <xdr:cxnSp macro="">
      <xdr:nvCxnSpPr>
        <xdr:cNvPr id="20" name="Ευθεία γραμμή σύνδεσης 19">
          <a:extLst>
            <a:ext uri="{FF2B5EF4-FFF2-40B4-BE49-F238E27FC236}">
              <a16:creationId xmlns:a16="http://schemas.microsoft.com/office/drawing/2014/main" id="{F81DDC22-0629-4BD3-80B1-A41A461648CD}"/>
            </a:ext>
            <a:ext uri="{147F2762-F138-4A5C-976F-8EAC2B608ADB}">
              <a16:predDERef xmlns:a16="http://schemas.microsoft.com/office/drawing/2014/main" pred="{A0849F66-6908-91AE-99FA-928AEC1693DA}"/>
            </a:ext>
          </a:extLst>
        </xdr:cNvPr>
        <xdr:cNvCxnSpPr>
          <a:cxnSpLocks/>
          <a:stCxn id="8" idx="3"/>
          <a:endCxn id="17" idx="1"/>
          <a:extLst>
            <a:ext uri="{5F17804C-33F3-41E3-A699-7DCFA2EF7971}">
              <a16:cxnDERefs xmlns:a16="http://schemas.microsoft.com/office/drawing/2014/main" st="{E279DEDA-95A6-4672-9960-30CB0FF3C108}" end="{0C8EA5E8-CD99-4D27-A710-584C5FB7331C}"/>
            </a:ext>
          </a:extLst>
        </xdr:cNvCxnSpPr>
      </xdr:nvCxnSpPr>
      <xdr:spPr>
        <a:xfrm>
          <a:off x="14735175" y="8115300"/>
          <a:ext cx="1533525" cy="76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619125</xdr:colOff>
      <xdr:row>39</xdr:row>
      <xdr:rowOff>190500</xdr:rowOff>
    </xdr:from>
    <xdr:to>
      <xdr:col>12</xdr:col>
      <xdr:colOff>9525</xdr:colOff>
      <xdr:row>40</xdr:row>
      <xdr:rowOff>0</xdr:rowOff>
    </xdr:to>
    <xdr:cxnSp macro="">
      <xdr:nvCxnSpPr>
        <xdr:cNvPr id="21" name="Ευθεία γραμμή σύνδεσης 20">
          <a:extLst>
            <a:ext uri="{FF2B5EF4-FFF2-40B4-BE49-F238E27FC236}">
              <a16:creationId xmlns:a16="http://schemas.microsoft.com/office/drawing/2014/main" id="{B7D4F0B7-B562-49F6-BD0F-BC13C28280BA}"/>
            </a:ext>
            <a:ext uri="{147F2762-F138-4A5C-976F-8EAC2B608ADB}">
              <a16:predDERef xmlns:a16="http://schemas.microsoft.com/office/drawing/2014/main" pred="{F81DDC22-0629-4BD3-80B1-A41A461648CD}"/>
            </a:ext>
          </a:extLst>
        </xdr:cNvPr>
        <xdr:cNvCxnSpPr>
          <a:cxnSpLocks/>
          <a:stCxn id="8" idx="3"/>
          <a:endCxn id="16" idx="1"/>
          <a:extLst>
            <a:ext uri="{5F17804C-33F3-41E3-A699-7DCFA2EF7971}">
              <a16:cxnDERefs xmlns:a16="http://schemas.microsoft.com/office/drawing/2014/main" st="{E279DEDA-95A6-4672-9960-30CB0FF3C108}" end="{A20CC4CA-9819-4726-8C32-2AEDDB7D2D6D}"/>
            </a:ext>
          </a:extLst>
        </xdr:cNvCxnSpPr>
      </xdr:nvCxnSpPr>
      <xdr:spPr>
        <a:xfrm flipV="1">
          <a:off x="14735175" y="8105775"/>
          <a:ext cx="15430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333375</xdr:colOff>
      <xdr:row>26</xdr:row>
      <xdr:rowOff>57150</xdr:rowOff>
    </xdr:from>
    <xdr:to>
      <xdr:col>9</xdr:col>
      <xdr:colOff>504825</xdr:colOff>
      <xdr:row>40</xdr:row>
      <xdr:rowOff>0</xdr:rowOff>
    </xdr:to>
    <xdr:cxnSp macro="">
      <xdr:nvCxnSpPr>
        <xdr:cNvPr id="22" name="Ευθεία γραμμή σύνδεσης 21">
          <a:extLst>
            <a:ext uri="{FF2B5EF4-FFF2-40B4-BE49-F238E27FC236}">
              <a16:creationId xmlns:a16="http://schemas.microsoft.com/office/drawing/2014/main" id="{B62DB080-FA85-42DF-BFF9-EB52B2A8DC75}"/>
            </a:ext>
            <a:ext uri="{147F2762-F138-4A5C-976F-8EAC2B608ADB}">
              <a16:predDERef xmlns:a16="http://schemas.microsoft.com/office/drawing/2014/main" pred="{B7D4F0B7-B562-49F6-BD0F-BC13C28280BA}"/>
            </a:ext>
          </a:extLst>
        </xdr:cNvPr>
        <xdr:cNvCxnSpPr>
          <a:cxnSpLocks/>
          <a:stCxn id="19" idx="3"/>
          <a:endCxn id="8" idx="1"/>
          <a:extLst>
            <a:ext uri="{5F17804C-33F3-41E3-A699-7DCFA2EF7971}">
              <a16:cxnDERefs xmlns:a16="http://schemas.microsoft.com/office/drawing/2014/main" st="{745A066A-F62F-A5E4-4110-1DBF825334BC}" end="{E279DEDA-95A6-4672-9960-30CB0FF3C108}"/>
            </a:ext>
          </a:extLst>
        </xdr:cNvCxnSpPr>
      </xdr:nvCxnSpPr>
      <xdr:spPr>
        <a:xfrm>
          <a:off x="11877675" y="5334000"/>
          <a:ext cx="1733550" cy="2781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333375</xdr:colOff>
      <xdr:row>26</xdr:row>
      <xdr:rowOff>47625</xdr:rowOff>
    </xdr:from>
    <xdr:to>
      <xdr:col>9</xdr:col>
      <xdr:colOff>523875</xdr:colOff>
      <xdr:row>26</xdr:row>
      <xdr:rowOff>57150</xdr:rowOff>
    </xdr:to>
    <xdr:cxnSp macro="">
      <xdr:nvCxnSpPr>
        <xdr:cNvPr id="23" name="Ευθεία γραμμή σύνδεσης 22">
          <a:extLst>
            <a:ext uri="{FF2B5EF4-FFF2-40B4-BE49-F238E27FC236}">
              <a16:creationId xmlns:a16="http://schemas.microsoft.com/office/drawing/2014/main" id="{26315337-1A72-4AA0-B09F-8B2DBA02FD31}"/>
            </a:ext>
            <a:ext uri="{147F2762-F138-4A5C-976F-8EAC2B608ADB}">
              <a16:predDERef xmlns:a16="http://schemas.microsoft.com/office/drawing/2014/main" pred="{B62DB080-FA85-42DF-BFF9-EB52B2A8DC75}"/>
            </a:ext>
          </a:extLst>
        </xdr:cNvPr>
        <xdr:cNvCxnSpPr>
          <a:cxnSpLocks/>
          <a:stCxn id="19" idx="3"/>
          <a:endCxn id="5" idx="1"/>
          <a:extLst>
            <a:ext uri="{5F17804C-33F3-41E3-A699-7DCFA2EF7971}">
              <a16:cxnDERefs xmlns:a16="http://schemas.microsoft.com/office/drawing/2014/main" st="{745A066A-F62F-A5E4-4110-1DBF825334BC}" end="{DC430F63-7475-42C9-9B68-9840DB6BDEC7}"/>
            </a:ext>
          </a:extLst>
        </xdr:cNvCxnSpPr>
      </xdr:nvCxnSpPr>
      <xdr:spPr>
        <a:xfrm flipV="1">
          <a:off x="11877675" y="5324475"/>
          <a:ext cx="175260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619125</xdr:colOff>
      <xdr:row>35</xdr:row>
      <xdr:rowOff>161925</xdr:rowOff>
    </xdr:from>
    <xdr:to>
      <xdr:col>12</xdr:col>
      <xdr:colOff>0</xdr:colOff>
      <xdr:row>40</xdr:row>
      <xdr:rowOff>0</xdr:rowOff>
    </xdr:to>
    <xdr:cxnSp macro="">
      <xdr:nvCxnSpPr>
        <xdr:cNvPr id="24" name="Ευθεία γραμμή σύνδεσης 23">
          <a:extLst>
            <a:ext uri="{FF2B5EF4-FFF2-40B4-BE49-F238E27FC236}">
              <a16:creationId xmlns:a16="http://schemas.microsoft.com/office/drawing/2014/main" id="{89529C0E-0504-4700-BBF2-2309F8BE5336}"/>
            </a:ext>
            <a:ext uri="{147F2762-F138-4A5C-976F-8EAC2B608ADB}">
              <a16:predDERef xmlns:a16="http://schemas.microsoft.com/office/drawing/2014/main" pred="{26315337-1A72-4AA0-B09F-8B2DBA02FD31}"/>
            </a:ext>
          </a:extLst>
        </xdr:cNvPr>
        <xdr:cNvCxnSpPr>
          <a:cxnSpLocks/>
          <a:stCxn id="8" idx="3"/>
          <a:endCxn id="15" idx="1"/>
          <a:extLst>
            <a:ext uri="{5F17804C-33F3-41E3-A699-7DCFA2EF7971}">
              <a16:cxnDERefs xmlns:a16="http://schemas.microsoft.com/office/drawing/2014/main" st="{E279DEDA-95A6-4672-9960-30CB0FF3C108}" end="{A1603196-7298-4D09-BB74-E629B1319892}"/>
            </a:ext>
          </a:extLst>
        </xdr:cNvCxnSpPr>
      </xdr:nvCxnSpPr>
      <xdr:spPr>
        <a:xfrm flipV="1">
          <a:off x="14735175" y="7277100"/>
          <a:ext cx="1533525" cy="838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638175</xdr:colOff>
      <xdr:row>22</xdr:row>
      <xdr:rowOff>142875</xdr:rowOff>
    </xdr:from>
    <xdr:to>
      <xdr:col>12</xdr:col>
      <xdr:colOff>19050</xdr:colOff>
      <xdr:row>26</xdr:row>
      <xdr:rowOff>47625</xdr:rowOff>
    </xdr:to>
    <xdr:cxnSp macro="">
      <xdr:nvCxnSpPr>
        <xdr:cNvPr id="25" name="Ευθεία γραμμή σύνδεσης 24">
          <a:extLst>
            <a:ext uri="{FF2B5EF4-FFF2-40B4-BE49-F238E27FC236}">
              <a16:creationId xmlns:a16="http://schemas.microsoft.com/office/drawing/2014/main" id="{5E79E81F-F375-4171-9CD7-9FDA99714273}"/>
            </a:ext>
            <a:ext uri="{147F2762-F138-4A5C-976F-8EAC2B608ADB}">
              <a16:predDERef xmlns:a16="http://schemas.microsoft.com/office/drawing/2014/main" pred="{89529C0E-0504-4700-BBF2-2309F8BE5336}"/>
            </a:ext>
          </a:extLst>
        </xdr:cNvPr>
        <xdr:cNvCxnSpPr>
          <a:cxnSpLocks/>
          <a:stCxn id="5" idx="3"/>
          <a:endCxn id="12" idx="1"/>
          <a:extLst>
            <a:ext uri="{5F17804C-33F3-41E3-A699-7DCFA2EF7971}">
              <a16:cxnDERefs xmlns:a16="http://schemas.microsoft.com/office/drawing/2014/main" st="{DC430F63-7475-42C9-9B68-9840DB6BDEC7}" end="{37EF1DDA-EB98-4E2A-A590-C5187C0B0C8A}"/>
            </a:ext>
          </a:extLst>
        </xdr:cNvCxnSpPr>
      </xdr:nvCxnSpPr>
      <xdr:spPr>
        <a:xfrm flipV="1">
          <a:off x="14754225" y="4619625"/>
          <a:ext cx="1533525" cy="704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638175</xdr:colOff>
      <xdr:row>26</xdr:row>
      <xdr:rowOff>47625</xdr:rowOff>
    </xdr:from>
    <xdr:to>
      <xdr:col>12</xdr:col>
      <xdr:colOff>28575</xdr:colOff>
      <xdr:row>26</xdr:row>
      <xdr:rowOff>47625</xdr:rowOff>
    </xdr:to>
    <xdr:cxnSp macro="">
      <xdr:nvCxnSpPr>
        <xdr:cNvPr id="26" name="Ευθεία γραμμή σύνδεσης 25">
          <a:extLst>
            <a:ext uri="{FF2B5EF4-FFF2-40B4-BE49-F238E27FC236}">
              <a16:creationId xmlns:a16="http://schemas.microsoft.com/office/drawing/2014/main" id="{EA3AD305-7C64-43A6-994C-33B42529E12D}"/>
            </a:ext>
            <a:ext uri="{147F2762-F138-4A5C-976F-8EAC2B608ADB}">
              <a16:predDERef xmlns:a16="http://schemas.microsoft.com/office/drawing/2014/main" pred="{5E79E81F-F375-4171-9CD7-9FDA99714273}"/>
            </a:ext>
          </a:extLst>
        </xdr:cNvPr>
        <xdr:cNvCxnSpPr>
          <a:cxnSpLocks/>
          <a:stCxn id="5" idx="3"/>
          <a:endCxn id="13" idx="1"/>
          <a:extLst>
            <a:ext uri="{5F17804C-33F3-41E3-A699-7DCFA2EF7971}">
              <a16:cxnDERefs xmlns:a16="http://schemas.microsoft.com/office/drawing/2014/main" st="{DC430F63-7475-42C9-9B68-9840DB6BDEC7}" end="{AB2757C8-DB95-4C67-83D2-ED6241D7D915}"/>
            </a:ext>
          </a:extLst>
        </xdr:cNvCxnSpPr>
      </xdr:nvCxnSpPr>
      <xdr:spPr>
        <a:xfrm>
          <a:off x="14754225" y="5324475"/>
          <a:ext cx="15430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638175</xdr:colOff>
      <xdr:row>26</xdr:row>
      <xdr:rowOff>47625</xdr:rowOff>
    </xdr:from>
    <xdr:to>
      <xdr:col>12</xdr:col>
      <xdr:colOff>38100</xdr:colOff>
      <xdr:row>30</xdr:row>
      <xdr:rowOff>66675</xdr:rowOff>
    </xdr:to>
    <xdr:cxnSp macro="">
      <xdr:nvCxnSpPr>
        <xdr:cNvPr id="28" name="Ευθεία γραμμή σύνδεσης 27">
          <a:extLst>
            <a:ext uri="{FF2B5EF4-FFF2-40B4-BE49-F238E27FC236}">
              <a16:creationId xmlns:a16="http://schemas.microsoft.com/office/drawing/2014/main" id="{D3902EAD-B1D3-4545-84E8-668ADAD2F8D7}"/>
            </a:ext>
            <a:ext uri="{147F2762-F138-4A5C-976F-8EAC2B608ADB}">
              <a16:predDERef xmlns:a16="http://schemas.microsoft.com/office/drawing/2014/main" pred="{EA3AD305-7C64-43A6-994C-33B42529E12D}"/>
            </a:ext>
          </a:extLst>
        </xdr:cNvPr>
        <xdr:cNvCxnSpPr>
          <a:cxnSpLocks/>
          <a:stCxn id="5" idx="3"/>
          <a:endCxn id="14" idx="1"/>
          <a:extLst>
            <a:ext uri="{5F17804C-33F3-41E3-A699-7DCFA2EF7971}">
              <a16:cxnDERefs xmlns:a16="http://schemas.microsoft.com/office/drawing/2014/main" st="{DC430F63-7475-42C9-9B68-9840DB6BDEC7}" end="{8E21D8EA-82BB-401B-905F-A9B0010F0EAB}"/>
            </a:ext>
          </a:extLst>
        </xdr:cNvCxnSpPr>
      </xdr:nvCxnSpPr>
      <xdr:spPr>
        <a:xfrm>
          <a:off x="14754225" y="5324475"/>
          <a:ext cx="1552575" cy="8191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581025</xdr:colOff>
      <xdr:row>15</xdr:row>
      <xdr:rowOff>19050</xdr:rowOff>
    </xdr:from>
    <xdr:to>
      <xdr:col>12</xdr:col>
      <xdr:colOff>0</xdr:colOff>
      <xdr:row>15</xdr:row>
      <xdr:rowOff>33338</xdr:rowOff>
    </xdr:to>
    <xdr:cxnSp macro="">
      <xdr:nvCxnSpPr>
        <xdr:cNvPr id="31" name="Ευθεία γραμμή σύνδεσης 30">
          <a:extLst>
            <a:ext uri="{FF2B5EF4-FFF2-40B4-BE49-F238E27FC236}">
              <a16:creationId xmlns:a16="http://schemas.microsoft.com/office/drawing/2014/main" id="{11E249AF-F0A6-46E2-AA40-2D650873ED26}"/>
            </a:ext>
            <a:ext uri="{147F2762-F138-4A5C-976F-8EAC2B608ADB}">
              <a16:predDERef xmlns:a16="http://schemas.microsoft.com/office/drawing/2014/main" pred="{B2F46B0E-1F18-47D3-8A49-2279C7705B20}"/>
            </a:ext>
          </a:extLst>
        </xdr:cNvPr>
        <xdr:cNvCxnSpPr>
          <a:cxnSpLocks/>
          <a:stCxn id="4" idx="3"/>
          <a:endCxn id="10" idx="1"/>
          <a:extLst>
            <a:ext uri="{5F17804C-33F3-41E3-A699-7DCFA2EF7971}">
              <a16:cxnDERefs xmlns:a16="http://schemas.microsoft.com/office/drawing/2014/main" st="{35085455-4BDD-4E48-B305-296C91C06DD1}" end="{2B414F42-9152-477A-91DA-E1D668FD2519}"/>
            </a:ext>
          </a:extLst>
        </xdr:cNvCxnSpPr>
      </xdr:nvCxnSpPr>
      <xdr:spPr>
        <a:xfrm flipV="1">
          <a:off x="14697075" y="3057525"/>
          <a:ext cx="1571625" cy="1428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581025</xdr:colOff>
      <xdr:row>11</xdr:row>
      <xdr:rowOff>57150</xdr:rowOff>
    </xdr:from>
    <xdr:to>
      <xdr:col>12</xdr:col>
      <xdr:colOff>0</xdr:colOff>
      <xdr:row>15</xdr:row>
      <xdr:rowOff>33338</xdr:rowOff>
    </xdr:to>
    <xdr:cxnSp macro="">
      <xdr:nvCxnSpPr>
        <xdr:cNvPr id="32" name="Ευθεία γραμμή σύνδεσης 31">
          <a:extLst>
            <a:ext uri="{FF2B5EF4-FFF2-40B4-BE49-F238E27FC236}">
              <a16:creationId xmlns:a16="http://schemas.microsoft.com/office/drawing/2014/main" id="{8FA01367-E287-4834-90A3-8F623C0F4BE1}"/>
            </a:ext>
            <a:ext uri="{147F2762-F138-4A5C-976F-8EAC2B608ADB}">
              <a16:predDERef xmlns:a16="http://schemas.microsoft.com/office/drawing/2014/main" pred="{11E249AF-F0A6-46E2-AA40-2D650873ED26}"/>
            </a:ext>
          </a:extLst>
        </xdr:cNvPr>
        <xdr:cNvCxnSpPr>
          <a:cxnSpLocks/>
          <a:stCxn id="4" idx="3"/>
          <a:endCxn id="9" idx="1"/>
          <a:extLst>
            <a:ext uri="{5F17804C-33F3-41E3-A699-7DCFA2EF7971}">
              <a16:cxnDERefs xmlns:a16="http://schemas.microsoft.com/office/drawing/2014/main" st="{35085455-4BDD-4E48-B305-296C91C06DD1}" end="{05E024A2-9FC2-4188-8D14-C9A4D72D5CEC}"/>
            </a:ext>
          </a:extLst>
        </xdr:cNvCxnSpPr>
      </xdr:nvCxnSpPr>
      <xdr:spPr>
        <a:xfrm flipV="1">
          <a:off x="14697075" y="2295525"/>
          <a:ext cx="1571625" cy="77628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581025</xdr:colOff>
      <xdr:row>15</xdr:row>
      <xdr:rowOff>33338</xdr:rowOff>
    </xdr:from>
    <xdr:to>
      <xdr:col>12</xdr:col>
      <xdr:colOff>0</xdr:colOff>
      <xdr:row>18</xdr:row>
      <xdr:rowOff>152400</xdr:rowOff>
    </xdr:to>
    <xdr:cxnSp macro="">
      <xdr:nvCxnSpPr>
        <xdr:cNvPr id="33" name="Ευθεία γραμμή σύνδεσης 32">
          <a:extLst>
            <a:ext uri="{FF2B5EF4-FFF2-40B4-BE49-F238E27FC236}">
              <a16:creationId xmlns:a16="http://schemas.microsoft.com/office/drawing/2014/main" id="{0BF497F0-C3E3-4963-B7D1-57A71FBE46FD}"/>
            </a:ext>
            <a:ext uri="{147F2762-F138-4A5C-976F-8EAC2B608ADB}">
              <a16:predDERef xmlns:a16="http://schemas.microsoft.com/office/drawing/2014/main" pred="{8FA01367-E287-4834-90A3-8F623C0F4BE1}"/>
            </a:ext>
          </a:extLst>
        </xdr:cNvPr>
        <xdr:cNvCxnSpPr>
          <a:cxnSpLocks/>
          <a:stCxn id="4" idx="3"/>
          <a:endCxn id="11" idx="1"/>
          <a:extLst>
            <a:ext uri="{5F17804C-33F3-41E3-A699-7DCFA2EF7971}">
              <a16:cxnDERefs xmlns:a16="http://schemas.microsoft.com/office/drawing/2014/main" st="{35085455-4BDD-4E48-B305-296C91C06DD1}" end="{01C19A60-2D7E-4989-BCC3-6627E9FA7659}"/>
            </a:ext>
          </a:extLst>
        </xdr:cNvCxnSpPr>
      </xdr:nvCxnSpPr>
      <xdr:spPr>
        <a:xfrm>
          <a:off x="14697075" y="3071813"/>
          <a:ext cx="1571625" cy="75723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"/>
  <sheetViews>
    <sheetView tabSelected="1" topLeftCell="B1" zoomScale="70" zoomScaleNormal="70" workbookViewId="0">
      <selection activeCell="D5" sqref="D5"/>
    </sheetView>
  </sheetViews>
  <sheetFormatPr defaultRowHeight="14.4" x14ac:dyDescent="0.3"/>
  <cols>
    <col min="2" max="9" width="23.44140625" customWidth="1"/>
    <col min="10" max="10" width="15.109375" customWidth="1"/>
    <col min="11" max="11" width="19.33203125" customWidth="1"/>
    <col min="12" max="12" width="13" customWidth="1"/>
    <col min="13" max="13" width="19.44140625" customWidth="1"/>
  </cols>
  <sheetData>
    <row r="1" spans="2:17" ht="15.6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ht="15.6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6" x14ac:dyDescent="0.3">
      <c r="B3" s="5" t="s">
        <v>0</v>
      </c>
      <c r="C3" s="2">
        <v>-125000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15.6" x14ac:dyDescent="0.3">
      <c r="B4" s="5" t="s">
        <v>1</v>
      </c>
      <c r="C4" s="3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 ht="15.6" x14ac:dyDescent="0.3">
      <c r="B5" s="5" t="s">
        <v>2</v>
      </c>
      <c r="C5" s="4">
        <v>0.12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7" ht="15.6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2:17" ht="15.6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2:17" ht="18" x14ac:dyDescent="0.3">
      <c r="B8" s="1"/>
      <c r="C8" s="17" t="s">
        <v>3</v>
      </c>
      <c r="D8" s="17"/>
      <c r="E8" s="17"/>
      <c r="F8" s="17"/>
      <c r="G8" s="17"/>
      <c r="H8" s="17"/>
      <c r="I8" s="1"/>
      <c r="J8" s="1"/>
      <c r="K8" s="1"/>
      <c r="L8" s="1"/>
      <c r="M8" s="1"/>
      <c r="N8" s="1"/>
      <c r="O8" s="1"/>
      <c r="P8" s="1"/>
      <c r="Q8" s="1"/>
    </row>
    <row r="9" spans="2:17" ht="15.6" x14ac:dyDescent="0.3">
      <c r="B9" s="1"/>
      <c r="C9" s="16" t="s">
        <v>4</v>
      </c>
      <c r="D9" s="16"/>
      <c r="E9" s="16" t="s">
        <v>5</v>
      </c>
      <c r="F9" s="16"/>
      <c r="G9" s="16" t="s">
        <v>6</v>
      </c>
      <c r="H9" s="16"/>
      <c r="I9" s="1"/>
      <c r="J9" s="1"/>
      <c r="K9" s="1"/>
      <c r="L9" s="1"/>
      <c r="M9" s="1"/>
      <c r="N9" s="1"/>
      <c r="O9" s="1"/>
      <c r="P9" s="1"/>
      <c r="Q9" s="1"/>
    </row>
    <row r="10" spans="2:17" ht="15.6" x14ac:dyDescent="0.3">
      <c r="B10" s="6" t="s">
        <v>7</v>
      </c>
      <c r="C10" s="7" t="s">
        <v>8</v>
      </c>
      <c r="D10" s="6" t="s">
        <v>9</v>
      </c>
      <c r="E10" s="6" t="s">
        <v>8</v>
      </c>
      <c r="F10" s="6" t="s">
        <v>9</v>
      </c>
      <c r="G10" s="6" t="s">
        <v>8</v>
      </c>
      <c r="H10" s="6" t="s">
        <v>9</v>
      </c>
      <c r="I10" s="1"/>
      <c r="J10" s="1"/>
      <c r="K10" s="1"/>
      <c r="L10" s="1"/>
      <c r="M10" s="1"/>
      <c r="N10" s="1"/>
      <c r="O10" s="1"/>
      <c r="P10" s="1"/>
      <c r="Q10" s="1"/>
    </row>
    <row r="11" spans="2:17" ht="15.6" x14ac:dyDescent="0.3">
      <c r="B11" s="3" t="s">
        <v>10</v>
      </c>
      <c r="C11" s="8">
        <v>45000</v>
      </c>
      <c r="D11" s="4">
        <v>0.4</v>
      </c>
      <c r="E11" s="2">
        <v>65000</v>
      </c>
      <c r="F11" s="4">
        <v>0.25</v>
      </c>
      <c r="G11" s="2">
        <v>90000</v>
      </c>
      <c r="H11" s="4">
        <v>0.35</v>
      </c>
      <c r="I11" s="1"/>
      <c r="J11" s="1"/>
      <c r="K11" s="1"/>
      <c r="L11" s="1"/>
      <c r="M11" s="1"/>
      <c r="N11" s="1">
        <v>1</v>
      </c>
      <c r="O11" s="1"/>
      <c r="P11" s="1"/>
      <c r="Q11" s="1"/>
    </row>
    <row r="12" spans="2:17" ht="15.6" x14ac:dyDescent="0.3">
      <c r="B12" s="3" t="s">
        <v>11</v>
      </c>
      <c r="C12" s="8">
        <v>30000</v>
      </c>
      <c r="D12" s="4">
        <v>0.3</v>
      </c>
      <c r="E12" s="2">
        <v>80000</v>
      </c>
      <c r="F12" s="4">
        <v>0.2</v>
      </c>
      <c r="G12" s="2">
        <v>90000</v>
      </c>
      <c r="H12" s="4">
        <v>0.1</v>
      </c>
      <c r="I12" s="1"/>
      <c r="J12" s="1"/>
      <c r="K12" s="1"/>
      <c r="L12" s="1">
        <v>0.3</v>
      </c>
      <c r="M12" s="1"/>
      <c r="N12" s="1"/>
      <c r="O12" s="1"/>
      <c r="P12" s="1"/>
      <c r="Q12" s="1"/>
    </row>
    <row r="13" spans="2:17" ht="15.6" x14ac:dyDescent="0.3">
      <c r="B13" s="3" t="s">
        <v>12</v>
      </c>
      <c r="C13" s="8">
        <v>60000</v>
      </c>
      <c r="D13" s="4">
        <v>0.4</v>
      </c>
      <c r="E13" s="2">
        <v>90000</v>
      </c>
      <c r="F13" s="4">
        <v>0.6</v>
      </c>
      <c r="G13" s="2">
        <v>100000</v>
      </c>
      <c r="H13" s="4">
        <v>0.8</v>
      </c>
      <c r="I13" s="1"/>
      <c r="J13" s="1"/>
      <c r="K13" s="1"/>
      <c r="L13" s="1"/>
      <c r="M13" s="1"/>
      <c r="N13" s="1"/>
      <c r="O13" s="1"/>
      <c r="P13" s="1"/>
      <c r="Q13" s="1"/>
    </row>
    <row r="14" spans="2:17" ht="15.6" x14ac:dyDescent="0.3">
      <c r="B14" s="3" t="s">
        <v>13</v>
      </c>
      <c r="C14" s="8">
        <v>90000</v>
      </c>
      <c r="D14" s="4">
        <v>0.3</v>
      </c>
      <c r="E14" s="2">
        <v>100000</v>
      </c>
      <c r="F14" s="4">
        <v>0.2</v>
      </c>
      <c r="G14" s="2">
        <v>11000</v>
      </c>
      <c r="H14" s="4">
        <v>0.1</v>
      </c>
      <c r="I14" s="1"/>
      <c r="J14" s="1"/>
      <c r="K14" s="1"/>
      <c r="L14" s="1"/>
      <c r="M14" s="1"/>
      <c r="N14" s="1"/>
      <c r="O14" s="1"/>
      <c r="P14" s="1"/>
      <c r="Q14" s="1"/>
    </row>
    <row r="15" spans="2:17" ht="15.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>
        <v>0.4</v>
      </c>
      <c r="M15" s="1"/>
      <c r="N15" s="1">
        <v>2</v>
      </c>
      <c r="O15" s="1"/>
      <c r="P15" s="1"/>
      <c r="Q15" s="1"/>
    </row>
    <row r="16" spans="2:17" ht="15.6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2:17" ht="18" x14ac:dyDescent="0.3">
      <c r="B17" s="17" t="s">
        <v>14</v>
      </c>
      <c r="C17" s="17"/>
      <c r="D17" s="17"/>
      <c r="E17" s="17"/>
      <c r="F17" s="17"/>
      <c r="G17" s="1"/>
      <c r="H17" s="1"/>
      <c r="I17" s="1"/>
      <c r="J17" s="1"/>
      <c r="K17" s="1"/>
      <c r="L17" s="1"/>
      <c r="M17" s="1"/>
      <c r="N17" s="1"/>
      <c r="O17" s="1"/>
    </row>
    <row r="18" spans="2:17" ht="15.6" x14ac:dyDescent="0.3">
      <c r="B18" s="13" t="s">
        <v>15</v>
      </c>
      <c r="C18" s="13" t="s">
        <v>9</v>
      </c>
      <c r="D18" s="13" t="s">
        <v>16</v>
      </c>
      <c r="E18" s="13" t="s">
        <v>17</v>
      </c>
      <c r="F18" s="13" t="s">
        <v>18</v>
      </c>
      <c r="G18" s="1"/>
      <c r="H18" s="1"/>
      <c r="I18" s="1"/>
      <c r="J18" s="1"/>
      <c r="K18" s="1"/>
      <c r="L18" s="14">
        <v>0.3</v>
      </c>
      <c r="M18" s="1"/>
      <c r="N18" s="1"/>
      <c r="O18" s="1"/>
    </row>
    <row r="19" spans="2:17" ht="15.6" x14ac:dyDescent="0.3">
      <c r="B19" s="3">
        <v>1</v>
      </c>
      <c r="C19" s="18">
        <v>0.4</v>
      </c>
      <c r="D19" s="3"/>
      <c r="E19" s="3">
        <v>0.3</v>
      </c>
      <c r="F19" s="2">
        <v>30000</v>
      </c>
      <c r="G19" s="1"/>
      <c r="H19" s="1"/>
      <c r="I19" s="1"/>
      <c r="J19" s="1"/>
      <c r="K19" s="1"/>
      <c r="L19" s="1"/>
      <c r="M19" s="1"/>
      <c r="N19" s="1">
        <v>3</v>
      </c>
      <c r="O19" s="1"/>
    </row>
    <row r="20" spans="2:17" ht="15.6" x14ac:dyDescent="0.3">
      <c r="B20" s="3">
        <v>2</v>
      </c>
      <c r="C20" s="19"/>
      <c r="D20" s="2">
        <v>45000</v>
      </c>
      <c r="E20" s="3">
        <v>0.4</v>
      </c>
      <c r="F20" s="2">
        <v>60000</v>
      </c>
      <c r="G20" s="1"/>
      <c r="H20" s="1"/>
      <c r="I20" s="1"/>
      <c r="J20" s="1"/>
      <c r="K20" s="1"/>
      <c r="L20" s="1"/>
      <c r="M20" s="1"/>
      <c r="N20" s="1"/>
      <c r="O20" s="1"/>
    </row>
    <row r="21" spans="2:17" ht="15.6" x14ac:dyDescent="0.3">
      <c r="B21" s="3">
        <v>3</v>
      </c>
      <c r="C21" s="20"/>
      <c r="D21" s="3"/>
      <c r="E21" s="3">
        <v>0.3</v>
      </c>
      <c r="F21" s="2">
        <v>90000</v>
      </c>
      <c r="G21" s="1"/>
      <c r="H21" s="1"/>
      <c r="I21" s="1">
        <v>0.4</v>
      </c>
      <c r="J21" s="1"/>
      <c r="K21" s="1"/>
      <c r="L21" s="1"/>
      <c r="M21" s="1"/>
      <c r="N21" s="1"/>
      <c r="O21" s="1"/>
    </row>
    <row r="22" spans="2:17" ht="15.6" x14ac:dyDescent="0.3">
      <c r="B22" s="3">
        <v>4</v>
      </c>
      <c r="C22" s="18">
        <v>0.25</v>
      </c>
      <c r="D22" s="3"/>
      <c r="E22" s="3">
        <v>0.2</v>
      </c>
      <c r="F22" s="2">
        <v>80000</v>
      </c>
      <c r="G22" s="1"/>
      <c r="H22" s="1"/>
      <c r="I22" s="1"/>
      <c r="J22" s="1"/>
      <c r="K22" s="1"/>
      <c r="L22" s="1"/>
      <c r="M22" s="1"/>
      <c r="N22" s="1"/>
      <c r="O22" s="1"/>
    </row>
    <row r="23" spans="2:17" ht="15.6" x14ac:dyDescent="0.3">
      <c r="B23" s="3">
        <v>5</v>
      </c>
      <c r="C23" s="19"/>
      <c r="D23" s="2">
        <v>65000</v>
      </c>
      <c r="E23" s="3">
        <v>0.6</v>
      </c>
      <c r="F23" s="2">
        <v>90000</v>
      </c>
      <c r="G23" s="1"/>
      <c r="H23" s="1"/>
      <c r="I23" s="1"/>
      <c r="J23" s="1"/>
      <c r="K23" s="1"/>
      <c r="L23" s="1">
        <v>0.2</v>
      </c>
      <c r="M23" s="1"/>
      <c r="N23" s="1">
        <v>4</v>
      </c>
      <c r="O23" s="1"/>
    </row>
    <row r="24" spans="2:17" ht="15.6" x14ac:dyDescent="0.3">
      <c r="B24" s="3">
        <v>6</v>
      </c>
      <c r="C24" s="20"/>
      <c r="D24" s="3"/>
      <c r="E24" s="3">
        <v>0.2</v>
      </c>
      <c r="F24" s="2">
        <v>100000</v>
      </c>
      <c r="G24" s="1"/>
      <c r="H24" s="1"/>
      <c r="I24" s="1"/>
      <c r="J24" s="1"/>
      <c r="K24" s="1"/>
      <c r="L24" s="1"/>
      <c r="M24" s="1"/>
      <c r="N24" s="1"/>
      <c r="O24" s="1"/>
    </row>
    <row r="25" spans="2:17" ht="15.6" x14ac:dyDescent="0.3">
      <c r="B25" s="3">
        <v>7</v>
      </c>
      <c r="C25" s="18">
        <v>0.35</v>
      </c>
      <c r="D25" s="3"/>
      <c r="E25" s="3">
        <v>0.1</v>
      </c>
      <c r="F25" s="2">
        <v>90000</v>
      </c>
      <c r="G25" s="1"/>
      <c r="H25" s="1"/>
      <c r="I25" s="1"/>
      <c r="J25" s="1"/>
      <c r="K25" s="1"/>
      <c r="L25" s="1"/>
      <c r="M25" s="1"/>
      <c r="N25" s="1"/>
      <c r="O25" s="1"/>
    </row>
    <row r="26" spans="2:17" ht="15.6" x14ac:dyDescent="0.3">
      <c r="B26" s="3">
        <v>8</v>
      </c>
      <c r="C26" s="19"/>
      <c r="D26" s="2">
        <v>90000</v>
      </c>
      <c r="E26" s="3">
        <v>0.8</v>
      </c>
      <c r="F26" s="2">
        <v>100000</v>
      </c>
      <c r="G26" s="1"/>
      <c r="H26" s="1"/>
      <c r="I26" s="14">
        <v>0.25</v>
      </c>
      <c r="J26" s="1"/>
      <c r="K26" s="1"/>
      <c r="L26" s="1">
        <v>0.6</v>
      </c>
      <c r="M26" s="1"/>
      <c r="N26" s="1">
        <v>5</v>
      </c>
      <c r="O26" s="1"/>
    </row>
    <row r="27" spans="2:17" ht="15.6" x14ac:dyDescent="0.3">
      <c r="B27" s="3">
        <v>9</v>
      </c>
      <c r="C27" s="20"/>
      <c r="D27" s="3"/>
      <c r="E27" s="3">
        <v>0.1</v>
      </c>
      <c r="F27" s="2">
        <v>110000</v>
      </c>
      <c r="G27" s="1"/>
      <c r="H27" s="1"/>
      <c r="I27" s="1"/>
      <c r="J27" s="1"/>
      <c r="K27" s="1"/>
      <c r="L27" s="1"/>
      <c r="M27" s="1"/>
      <c r="N27" s="1"/>
      <c r="O27" s="1"/>
    </row>
    <row r="28" spans="2:17" ht="15.6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2:17" ht="15.6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>
        <v>0.2</v>
      </c>
      <c r="M29" s="1"/>
      <c r="N29" s="1"/>
      <c r="O29" s="1"/>
      <c r="P29" s="1"/>
      <c r="Q29" s="1"/>
    </row>
    <row r="30" spans="2:17" ht="15.6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>
        <v>6</v>
      </c>
      <c r="O30" s="1"/>
      <c r="P30" s="1"/>
      <c r="Q30" s="1"/>
    </row>
    <row r="31" spans="2:17" ht="18" x14ac:dyDescent="0.3">
      <c r="B31" s="17" t="s">
        <v>19</v>
      </c>
      <c r="C31" s="1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2:17" ht="15.6" x14ac:dyDescent="0.3">
      <c r="B32" s="9" t="s">
        <v>20</v>
      </c>
      <c r="C32" s="10">
        <f>D20/(1+$C$5)^1+F19/(1+$C$5)^2+$C$3</f>
        <v>-60905.612244897959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 ht="15.6" x14ac:dyDescent="0.3">
      <c r="B33" s="9" t="s">
        <v>21</v>
      </c>
      <c r="C33" s="10">
        <f>D20/(1+$C$5)^1+F20/(1+$C$5)^2+$C$3</f>
        <v>-36989.795918367352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2:17" ht="15.6" x14ac:dyDescent="0.3">
      <c r="B34" s="9" t="s">
        <v>22</v>
      </c>
      <c r="C34" s="10">
        <f>D20/(1+$C$5)^1+F21/(1+$C$5)^2+$C$3</f>
        <v>-13073.979591836745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 ht="15.6" x14ac:dyDescent="0.3">
      <c r="B35" s="9" t="s">
        <v>23</v>
      </c>
      <c r="C35" s="10">
        <f>D23/(1+$C$5)^1+F22/(1+$C$5)^2+$C$3</f>
        <v>-3188.7755102040974</v>
      </c>
      <c r="D35" s="1"/>
      <c r="E35" s="1"/>
      <c r="F35" s="1"/>
      <c r="G35" s="1"/>
      <c r="H35" s="1"/>
      <c r="I35" s="1">
        <v>0.35</v>
      </c>
      <c r="J35" s="1"/>
      <c r="K35" s="1"/>
      <c r="L35" s="1"/>
      <c r="M35" s="1"/>
      <c r="N35" s="1"/>
      <c r="O35" s="1"/>
      <c r="P35" s="1"/>
      <c r="Q35" s="1"/>
    </row>
    <row r="36" spans="2:17" ht="15.6" x14ac:dyDescent="0.3">
      <c r="B36" s="9" t="s">
        <v>24</v>
      </c>
      <c r="C36" s="10">
        <f>D23/(1+$C$5)^1+F23/(1+$C$5)^2+$C$3</f>
        <v>4783.1632653060951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v>7</v>
      </c>
      <c r="O36" s="1"/>
      <c r="P36" s="1"/>
      <c r="Q36" s="1"/>
    </row>
    <row r="37" spans="2:17" ht="15.6" x14ac:dyDescent="0.3">
      <c r="B37" s="9" t="s">
        <v>25</v>
      </c>
      <c r="C37" s="10">
        <f>D23/(1+$C$5)^1+F24/(1+$C$5)^2+$C$3</f>
        <v>12755.102040816302</v>
      </c>
      <c r="D37" s="1"/>
      <c r="E37" s="1"/>
      <c r="F37" s="1"/>
      <c r="G37" s="1"/>
      <c r="H37" s="1"/>
      <c r="I37" s="1"/>
      <c r="J37" s="1"/>
      <c r="K37" s="1"/>
      <c r="L37" s="15">
        <v>0.1</v>
      </c>
      <c r="M37" s="1"/>
      <c r="N37" s="1"/>
      <c r="O37" s="1"/>
      <c r="P37" s="1"/>
      <c r="Q37" s="1"/>
    </row>
    <row r="38" spans="2:17" ht="15.6" x14ac:dyDescent="0.3">
      <c r="B38" s="9" t="s">
        <v>26</v>
      </c>
      <c r="C38" s="10">
        <f>D26/(1+$C$5)^1+F25/(1+$C$5)^2+$C$3</f>
        <v>27104.591836734675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2:17" ht="15.6" x14ac:dyDescent="0.3">
      <c r="B39" s="9" t="s">
        <v>27</v>
      </c>
      <c r="C39" s="10">
        <f>D26/(1+$C$5)^1+F26/(1+$C$5)^2+$C$3</f>
        <v>35076.530612244882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17" ht="15.6" x14ac:dyDescent="0.3">
      <c r="B40" s="9" t="s">
        <v>28</v>
      </c>
      <c r="C40" s="10">
        <f>D26/(1+$C$5)^1+F27/(1+$C$5)^2+$C$3</f>
        <v>43048.469387755089</v>
      </c>
      <c r="D40" s="1"/>
      <c r="E40" s="1"/>
      <c r="F40" s="1"/>
      <c r="G40" s="1"/>
      <c r="H40" s="1"/>
      <c r="I40" s="1"/>
      <c r="J40" s="1"/>
      <c r="K40" s="1"/>
      <c r="L40" s="1">
        <v>0.8</v>
      </c>
      <c r="M40" s="1"/>
      <c r="N40" s="1">
        <v>8</v>
      </c>
      <c r="O40" s="1"/>
      <c r="P40" s="1"/>
      <c r="Q40" s="1"/>
    </row>
    <row r="41" spans="2:17" ht="15.6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2:17" ht="15.6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2:17" ht="18" x14ac:dyDescent="0.3">
      <c r="B43" s="17" t="s">
        <v>29</v>
      </c>
      <c r="C43" s="17"/>
      <c r="D43" s="17"/>
      <c r="E43" s="17"/>
      <c r="F43" s="1"/>
      <c r="G43" s="1"/>
      <c r="H43" s="1"/>
      <c r="I43" s="1"/>
      <c r="J43" s="1"/>
      <c r="K43" s="1"/>
      <c r="L43" s="14">
        <v>0.1</v>
      </c>
      <c r="M43" s="1"/>
      <c r="N43" s="1"/>
      <c r="O43" s="1"/>
      <c r="P43" s="1"/>
      <c r="Q43" s="1"/>
    </row>
    <row r="44" spans="2:17" ht="15.6" x14ac:dyDescent="0.3">
      <c r="B44" s="6" t="s">
        <v>15</v>
      </c>
      <c r="C44" s="6" t="s">
        <v>9</v>
      </c>
      <c r="D44" s="6" t="s">
        <v>17</v>
      </c>
      <c r="E44" s="6" t="s">
        <v>30</v>
      </c>
      <c r="F44" s="1"/>
      <c r="G44" s="1"/>
      <c r="H44" s="1"/>
      <c r="I44" s="1"/>
      <c r="J44" s="1"/>
      <c r="K44" s="1"/>
      <c r="L44" s="1"/>
      <c r="M44" s="1"/>
      <c r="N44" s="1">
        <v>9</v>
      </c>
      <c r="O44" s="1"/>
      <c r="P44" s="1"/>
      <c r="Q44" s="1"/>
    </row>
    <row r="45" spans="2:17" ht="15.6" x14ac:dyDescent="0.3">
      <c r="B45" s="3">
        <v>1</v>
      </c>
      <c r="C45" s="3">
        <v>0.4</v>
      </c>
      <c r="D45" s="3">
        <v>0.3</v>
      </c>
      <c r="E45" s="3">
        <f>C45*D45</f>
        <v>0.12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 ht="15.6" x14ac:dyDescent="0.3">
      <c r="B46" s="3">
        <v>2</v>
      </c>
      <c r="C46" s="3">
        <v>0.4</v>
      </c>
      <c r="D46" s="3">
        <v>0.4</v>
      </c>
      <c r="E46" s="3">
        <f t="shared" ref="E46:E53" si="0">C46*D46</f>
        <v>0.16000000000000003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 ht="15.6" x14ac:dyDescent="0.3">
      <c r="B47" s="3">
        <v>3</v>
      </c>
      <c r="C47" s="3">
        <v>0.4</v>
      </c>
      <c r="D47" s="3">
        <v>0.3</v>
      </c>
      <c r="E47" s="3">
        <f t="shared" si="0"/>
        <v>0.12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ht="15.6" x14ac:dyDescent="0.3">
      <c r="B48" s="3">
        <v>4</v>
      </c>
      <c r="C48" s="3">
        <v>0.25</v>
      </c>
      <c r="D48" s="3">
        <v>0.2</v>
      </c>
      <c r="E48" s="3">
        <f t="shared" si="0"/>
        <v>0.05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6" x14ac:dyDescent="0.3">
      <c r="B49" s="3">
        <v>5</v>
      </c>
      <c r="C49" s="3">
        <v>0.25</v>
      </c>
      <c r="D49" s="3">
        <v>0.6</v>
      </c>
      <c r="E49" s="3">
        <f t="shared" si="0"/>
        <v>0.15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6" x14ac:dyDescent="0.3">
      <c r="B50" s="3">
        <v>6</v>
      </c>
      <c r="C50" s="3">
        <v>0.25</v>
      </c>
      <c r="D50" s="3">
        <v>0.2</v>
      </c>
      <c r="E50" s="3">
        <f t="shared" si="0"/>
        <v>0.05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6" x14ac:dyDescent="0.3">
      <c r="B51" s="3">
        <v>7</v>
      </c>
      <c r="C51" s="3">
        <v>0.35</v>
      </c>
      <c r="D51" s="3">
        <v>0.1</v>
      </c>
      <c r="E51" s="3">
        <f t="shared" si="0"/>
        <v>3.4999999999999996E-2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6" x14ac:dyDescent="0.3">
      <c r="B52" s="3">
        <v>8</v>
      </c>
      <c r="C52" s="3">
        <v>0.35</v>
      </c>
      <c r="D52" s="3">
        <v>0.8</v>
      </c>
      <c r="E52" s="3">
        <f t="shared" si="0"/>
        <v>0.27999999999999997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6" x14ac:dyDescent="0.3">
      <c r="B53" s="3">
        <v>9</v>
      </c>
      <c r="C53" s="3">
        <v>0.35</v>
      </c>
      <c r="D53" s="3">
        <v>0.1</v>
      </c>
      <c r="E53" s="3">
        <f t="shared" si="0"/>
        <v>3.4999999999999996E-2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8" x14ac:dyDescent="0.3">
      <c r="A56" s="1"/>
      <c r="B56" s="17" t="s">
        <v>31</v>
      </c>
      <c r="C56" s="17"/>
      <c r="D56" s="17"/>
      <c r="E56" s="1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6" x14ac:dyDescent="0.3">
      <c r="A57" s="1"/>
      <c r="B57" s="6" t="s">
        <v>30</v>
      </c>
      <c r="C57" s="6" t="s">
        <v>32</v>
      </c>
      <c r="D57" s="6" t="s">
        <v>33</v>
      </c>
      <c r="E57" s="6" t="s">
        <v>15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7" ht="15.6" x14ac:dyDescent="0.3">
      <c r="A58" s="1"/>
      <c r="B58" s="3">
        <f t="shared" ref="B58:B66" si="1">E45</f>
        <v>0.12</v>
      </c>
      <c r="C58" s="10">
        <f t="shared" ref="C58:C66" si="2">C32</f>
        <v>-60905.612244897959</v>
      </c>
      <c r="D58" s="10">
        <f>B58*C58</f>
        <v>-7308.6734693877552</v>
      </c>
      <c r="E58" s="3">
        <v>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7" ht="15.6" x14ac:dyDescent="0.3">
      <c r="A59" s="1"/>
      <c r="B59" s="3">
        <f t="shared" si="1"/>
        <v>0.16000000000000003</v>
      </c>
      <c r="C59" s="10">
        <f t="shared" si="2"/>
        <v>-36989.795918367352</v>
      </c>
      <c r="D59" s="10">
        <f t="shared" ref="D59:D66" si="3">B59*C59</f>
        <v>-5918.3673469387777</v>
      </c>
      <c r="E59" s="3">
        <v>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7" ht="15.6" x14ac:dyDescent="0.3">
      <c r="A60" s="1"/>
      <c r="B60" s="3">
        <f t="shared" si="1"/>
        <v>0.12</v>
      </c>
      <c r="C60" s="10">
        <f t="shared" si="2"/>
        <v>-13073.979591836745</v>
      </c>
      <c r="D60" s="10">
        <f t="shared" si="3"/>
        <v>-1568.8775510204093</v>
      </c>
      <c r="E60" s="3">
        <v>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7" ht="15.6" x14ac:dyDescent="0.3">
      <c r="A61" s="1"/>
      <c r="B61" s="3">
        <f t="shared" si="1"/>
        <v>0.05</v>
      </c>
      <c r="C61" s="10">
        <f t="shared" si="2"/>
        <v>-3188.7755102040974</v>
      </c>
      <c r="D61" s="10">
        <f t="shared" si="3"/>
        <v>-159.43877551020489</v>
      </c>
      <c r="E61" s="3">
        <v>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7" ht="15.6" x14ac:dyDescent="0.3">
      <c r="A62" s="1"/>
      <c r="B62" s="3">
        <f t="shared" si="1"/>
        <v>0.15</v>
      </c>
      <c r="C62" s="10">
        <f t="shared" si="2"/>
        <v>4783.1632653060951</v>
      </c>
      <c r="D62" s="10">
        <f t="shared" si="3"/>
        <v>717.47448979591422</v>
      </c>
      <c r="E62" s="3">
        <v>5</v>
      </c>
      <c r="F62" s="1"/>
      <c r="G62" s="1"/>
      <c r="H62" s="1"/>
    </row>
    <row r="63" spans="1:17" ht="15.6" x14ac:dyDescent="0.3">
      <c r="A63" s="1"/>
      <c r="B63" s="3">
        <f t="shared" si="1"/>
        <v>0.05</v>
      </c>
      <c r="C63" s="10">
        <f t="shared" si="2"/>
        <v>12755.102040816302</v>
      </c>
      <c r="D63" s="10">
        <f t="shared" si="3"/>
        <v>637.75510204081513</v>
      </c>
      <c r="E63" s="3">
        <v>6</v>
      </c>
      <c r="F63" s="1"/>
      <c r="G63" s="1"/>
      <c r="H63" s="1"/>
    </row>
    <row r="64" spans="1:17" ht="15.6" x14ac:dyDescent="0.3">
      <c r="A64" s="1"/>
      <c r="B64" s="3">
        <f t="shared" si="1"/>
        <v>3.4999999999999996E-2</v>
      </c>
      <c r="C64" s="10">
        <f t="shared" si="2"/>
        <v>27104.591836734675</v>
      </c>
      <c r="D64" s="10">
        <f t="shared" si="3"/>
        <v>948.66071428571354</v>
      </c>
      <c r="E64" s="3">
        <v>7</v>
      </c>
      <c r="F64" s="1"/>
      <c r="G64" s="1"/>
      <c r="H64" s="1"/>
    </row>
    <row r="65" spans="1:9" ht="15.6" x14ac:dyDescent="0.3">
      <c r="A65" s="1"/>
      <c r="B65" s="3">
        <f t="shared" si="1"/>
        <v>0.27999999999999997</v>
      </c>
      <c r="C65" s="10">
        <f t="shared" si="2"/>
        <v>35076.530612244882</v>
      </c>
      <c r="D65" s="10">
        <f t="shared" si="3"/>
        <v>9821.4285714285652</v>
      </c>
      <c r="E65" s="3">
        <v>8</v>
      </c>
      <c r="F65" s="1"/>
      <c r="G65" s="1"/>
      <c r="H65" s="1"/>
    </row>
    <row r="66" spans="1:9" ht="15.6" x14ac:dyDescent="0.3">
      <c r="A66" s="1"/>
      <c r="B66" s="3">
        <f t="shared" si="1"/>
        <v>3.4999999999999996E-2</v>
      </c>
      <c r="C66" s="10">
        <f t="shared" si="2"/>
        <v>43048.469387755089</v>
      </c>
      <c r="D66" s="10">
        <f t="shared" si="3"/>
        <v>1506.696428571428</v>
      </c>
      <c r="E66" s="3">
        <v>9</v>
      </c>
      <c r="F66" s="1"/>
      <c r="G66" s="1"/>
      <c r="H66" s="1"/>
    </row>
    <row r="67" spans="1:9" ht="15.6" x14ac:dyDescent="0.3">
      <c r="A67" s="1"/>
      <c r="B67" s="1"/>
      <c r="C67" s="1"/>
      <c r="D67" s="11"/>
      <c r="E67" s="1"/>
      <c r="F67" s="1"/>
      <c r="G67" s="1"/>
      <c r="H67" s="1"/>
      <c r="I67" s="1"/>
    </row>
    <row r="68" spans="1:9" ht="15.6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ht="15.6" x14ac:dyDescent="0.3">
      <c r="A69" s="1"/>
      <c r="B69" s="1"/>
      <c r="C69" s="5" t="s">
        <v>33</v>
      </c>
      <c r="D69" s="12">
        <f>D58+D59+D60+D61+D62+D63+D64+D65+D66</f>
        <v>-1323.3418367347108</v>
      </c>
      <c r="E69" s="1"/>
      <c r="F69" s="1"/>
      <c r="G69" s="1"/>
      <c r="H69" s="1"/>
      <c r="I69" s="1"/>
    </row>
    <row r="70" spans="1:9" ht="15.6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ht="15.6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ht="15.6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ht="15.6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ht="15.6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ht="15.6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ht="15.6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ht="15.6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15.6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ht="15.6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ht="15.6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ht="15.6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ht="15.6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ht="15.6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ht="15.6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ht="15.6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ht="15.6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ht="15.6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ht="15.6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ht="15.6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ht="15.6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ht="15.6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ht="15.6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ht="15.6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ht="15.6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ht="15.6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ht="15.6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ht="15.6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ht="15.6" x14ac:dyDescent="0.3">
      <c r="A98" s="1"/>
      <c r="B98" s="1"/>
      <c r="C98" s="1"/>
      <c r="D98" s="1"/>
      <c r="E98" s="1"/>
      <c r="F98" s="1"/>
      <c r="G98" s="1"/>
      <c r="H98" s="1"/>
      <c r="I98" s="1"/>
    </row>
  </sheetData>
  <mergeCells count="11">
    <mergeCell ref="B43:E43"/>
    <mergeCell ref="B56:E56"/>
    <mergeCell ref="B31:C31"/>
    <mergeCell ref="C19:C21"/>
    <mergeCell ref="C22:C24"/>
    <mergeCell ref="C25:C27"/>
    <mergeCell ref="C9:D9"/>
    <mergeCell ref="E9:F9"/>
    <mergeCell ref="G9:H9"/>
    <mergeCell ref="C8:H8"/>
    <mergeCell ref="B17:F17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D688458-09B3-46B4-8D5B-122A8C0C0AAB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H18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Άσκηση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Παναγιωτης Κωστ.</dc:creator>
  <cp:keywords/>
  <dc:description/>
  <cp:lastModifiedBy>Παναγιωτης Κωστ.</cp:lastModifiedBy>
  <cp:revision/>
  <dcterms:created xsi:type="dcterms:W3CDTF">2024-05-14T10:30:43Z</dcterms:created>
  <dcterms:modified xsi:type="dcterms:W3CDTF">2026-08-11T08:52:27Z</dcterms:modified>
  <cp:category/>
  <cp:contentStatus/>
</cp:coreProperties>
</file>