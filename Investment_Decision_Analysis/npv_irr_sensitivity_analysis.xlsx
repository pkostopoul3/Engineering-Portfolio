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7aec70558032046/Υπολογιστής/Investment_Decision_Analysis/"/>
    </mc:Choice>
  </mc:AlternateContent>
  <xr:revisionPtr revIDLastSave="0" documentId="8_{166BC98C-9F3E-4876-A088-F4BEB5D5713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Άσκηση 1" sheetId="1" r:id="rId1"/>
    <sheet name="Άσκηση 2" sheetId="2" r:id="rId2"/>
    <sheet name="Άσκηση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0" i="1" l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H15" i="1"/>
  <c r="H14" i="1"/>
  <c r="E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0" i="1"/>
  <c r="E31" i="1"/>
  <c r="E32" i="1"/>
  <c r="E33" i="1"/>
  <c r="E34" i="1"/>
  <c r="E35" i="1"/>
  <c r="E36" i="1"/>
  <c r="E37" i="1"/>
  <c r="E38" i="1"/>
  <c r="E39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E15" i="1"/>
  <c r="D15" i="1"/>
  <c r="D9" i="1"/>
  <c r="E9" i="1"/>
  <c r="E10" i="1"/>
  <c r="D10" i="1"/>
  <c r="D15" i="3"/>
  <c r="D8" i="3"/>
  <c r="D9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C10" i="2"/>
  <c r="C9" i="2"/>
</calcChain>
</file>

<file path=xl/sharedStrings.xml><?xml version="1.0" encoding="utf-8"?>
<sst xmlns="http://schemas.openxmlformats.org/spreadsheetml/2006/main" count="31" uniqueCount="16">
  <si>
    <t>Ερώτημα 1ο</t>
  </si>
  <si>
    <t xml:space="preserve">Ετος </t>
  </si>
  <si>
    <t>Α</t>
  </si>
  <si>
    <t>B</t>
  </si>
  <si>
    <t>Επιτόκιο</t>
  </si>
  <si>
    <t>ΠΑ</t>
  </si>
  <si>
    <t>ΚΠΑ</t>
  </si>
  <si>
    <t>Ερώτημα 2ο</t>
  </si>
  <si>
    <t>Επιτόκια</t>
  </si>
  <si>
    <t>ΚΠΑ(A)</t>
  </si>
  <si>
    <t>ΚΠΑ(B)</t>
  </si>
  <si>
    <t>EBA(A)</t>
  </si>
  <si>
    <t>EBA(B)</t>
  </si>
  <si>
    <t>Ερώτημα 3ο</t>
  </si>
  <si>
    <t>Έτος</t>
  </si>
  <si>
    <t xml:space="preserve">Επιτόκιο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</si>
</sst>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&quot;€&quot;;[Red]\-#,##0.00\ &quot;€&quot;"/>
    <numFmt numFmtId="165" formatCode="_-* #,##0.00\ &quot;€&quot;_-;\-* #,##0.00\ &quot;€&quot;_-;_-* &quot;-&quot;??\ &quot;€&quot;_-;_-@_-"/>
    <numFmt numFmtId="166" formatCode="#,##0.00\ &quot;€&quot;"/>
    <numFmt numFmtId="167" formatCode="0.0%"/>
    <numFmt numFmtId="168" formatCode="0.0000%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4" xfId="0" quotePrefix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166" fontId="0" fillId="4" borderId="1" xfId="0" applyNumberFormat="1" applyFill="1" applyBorder="1"/>
    <xf numFmtId="166" fontId="2" fillId="4" borderId="1" xfId="0" applyNumberFormat="1" applyFont="1" applyFill="1" applyBorder="1"/>
    <xf numFmtId="0" fontId="3" fillId="3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8" fontId="4" fillId="4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NPV, </a:t>
            </a:r>
            <a:r>
              <a:rPr lang="el-GR"/>
              <a:t>Μέθοδος Δοκιμής Επιτοκίων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'Άσκηση 1'!$D$44</c:f>
              <c:strCache>
                <c:ptCount val="1"/>
                <c:pt idx="0">
                  <c:v>ΚΠΑ(A)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'Άσκηση 1'!$D$45:$D$70</c:f>
              <c:numCache>
                <c:formatCode>General</c:formatCode>
                <c:ptCount val="26"/>
                <c:pt idx="0">
                  <c:v>556.73875886755422</c:v>
                </c:pt>
                <c:pt idx="1">
                  <c:v>514.91130862187242</c:v>
                </c:pt>
                <c:pt idx="2">
                  <c:v>474.45473572081573</c:v>
                </c:pt>
                <c:pt idx="3">
                  <c:v>435.30951297223487</c:v>
                </c:pt>
                <c:pt idx="4">
                  <c:v>397.41928517438714</c:v>
                </c:pt>
                <c:pt idx="5">
                  <c:v>360.73067028486594</c:v>
                </c:pt>
                <c:pt idx="6">
                  <c:v>325.19307485533136</c:v>
                </c:pt>
                <c:pt idx="7">
                  <c:v>290.75852258293958</c:v>
                </c:pt>
                <c:pt idx="8">
                  <c:v>257.38149493177343</c:v>
                </c:pt>
                <c:pt idx="9">
                  <c:v>225.01878287002228</c:v>
                </c:pt>
                <c:pt idx="10">
                  <c:v>193.62934885213895</c:v>
                </c:pt>
                <c:pt idx="11">
                  <c:v>179</c:v>
                </c:pt>
                <c:pt idx="12">
                  <c:v>163.17419825072875</c:v>
                </c:pt>
                <c:pt idx="13">
                  <c:v>133.61625951124779</c:v>
                </c:pt>
                <c:pt idx="14">
                  <c:v>104.92027236450599</c:v>
                </c:pt>
                <c:pt idx="15">
                  <c:v>85.657822889934323</c:v>
                </c:pt>
                <c:pt idx="16">
                  <c:v>49.981549059002191</c:v>
                </c:pt>
                <c:pt idx="17">
                  <c:v>23.676443685209961</c:v>
                </c:pt>
                <c:pt idx="18">
                  <c:v>4.0715692648518598E-6</c:v>
                </c:pt>
                <c:pt idx="19">
                  <c:v>-26.750294779305477</c:v>
                </c:pt>
                <c:pt idx="20">
                  <c:v>-50.92592592592564</c:v>
                </c:pt>
                <c:pt idx="21">
                  <c:v>-74.443668606387291</c:v>
                </c:pt>
                <c:pt idx="22">
                  <c:v>-97.327529617016353</c:v>
                </c:pt>
                <c:pt idx="23">
                  <c:v>-119.60043356134543</c:v>
                </c:pt>
                <c:pt idx="24">
                  <c:v>-141.28428048739556</c:v>
                </c:pt>
                <c:pt idx="25">
                  <c:v>-162.40000000000009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58-4D74-8D0C-6369068AA279}"/>
            </c:ext>
          </c:extLst>
        </c:ser>
        <c:ser>
          <c:idx val="1"/>
          <c:order val="1"/>
          <c:tx>
            <c:strRef>
              <c:f>'Άσκηση 1'!$E$44</c:f>
              <c:strCache>
                <c:ptCount val="1"/>
                <c:pt idx="0">
                  <c:v>ΚΠΑ(B)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'Άσκηση 1'!$E$45:$E$70</c:f>
              <c:numCache>
                <c:formatCode>General</c:formatCode>
                <c:ptCount val="26"/>
                <c:pt idx="0">
                  <c:v>915.47722461688363</c:v>
                </c:pt>
                <c:pt idx="1">
                  <c:v>833.82032551582734</c:v>
                </c:pt>
                <c:pt idx="2">
                  <c:v>754.90191054124216</c:v>
                </c:pt>
                <c:pt idx="3">
                  <c:v>678.60150204824731</c:v>
                </c:pt>
                <c:pt idx="4">
                  <c:v>604.80509664183137</c:v>
                </c:pt>
                <c:pt idx="5">
                  <c:v>533.40475694700899</c:v>
                </c:pt>
                <c:pt idx="6">
                  <c:v>464.2982327967261</c:v>
                </c:pt>
                <c:pt idx="7">
                  <c:v>397.38860945993929</c:v>
                </c:pt>
                <c:pt idx="8">
                  <c:v>332.58398074483193</c:v>
                </c:pt>
                <c:pt idx="9">
                  <c:v>269.79714500375667</c:v>
                </c:pt>
                <c:pt idx="10">
                  <c:v>208.94532223969736</c:v>
                </c:pt>
                <c:pt idx="11">
                  <c:v>179</c:v>
                </c:pt>
                <c:pt idx="12">
                  <c:v>149.94989067055303</c:v>
                </c:pt>
                <c:pt idx="13">
                  <c:v>92.736141249168213</c:v>
                </c:pt>
                <c:pt idx="14">
                  <c:v>37.233048765341209</c:v>
                </c:pt>
                <c:pt idx="15">
                  <c:v>-5.1078757678624243E-5</c:v>
                </c:pt>
                <c:pt idx="16">
                  <c:v>-68.908114313829628</c:v>
                </c:pt>
                <c:pt idx="17">
                  <c:v>-119.67166849919386</c:v>
                </c:pt>
                <c:pt idx="18">
                  <c:v>-165.32943686078033</c:v>
                </c:pt>
                <c:pt idx="19">
                  <c:v>-216.87633036407806</c:v>
                </c:pt>
                <c:pt idx="20">
                  <c:v>-263.42592592592564</c:v>
                </c:pt>
                <c:pt idx="21">
                  <c:v>-308.67517404142427</c:v>
                </c:pt>
                <c:pt idx="22">
                  <c:v>-352.67225010022867</c:v>
                </c:pt>
                <c:pt idx="23">
                  <c:v>-395.46313626927622</c:v>
                </c:pt>
                <c:pt idx="24">
                  <c:v>-437.09173911584048</c:v>
                </c:pt>
                <c:pt idx="25">
                  <c:v>-477.59999999999991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58-4D74-8D0C-6369068AA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9211656"/>
        <c:axId val="1429262856"/>
      </c:lineChart>
      <c:catAx>
        <c:axId val="1429211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262856"/>
        <c:crosses val="autoZero"/>
        <c:auto val="1"/>
        <c:lblAlgn val="ctr"/>
        <c:lblOffset val="100"/>
        <c:noMultiLvlLbl val="0"/>
      </c:catAx>
      <c:valAx>
        <c:axId val="142926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21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ΚΠΑ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'Άσκηση 3'!$C$14</c:f>
              <c:strCache>
                <c:ptCount val="1"/>
                <c:pt idx="0">
                  <c:v>Επιτόκια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'Άσκηση 3'!$C$15:$C$39</c:f>
              <c:numCache>
                <c:formatCode>0%</c:formatCode>
                <c:ptCount val="2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49-40C3-B8B6-1500EF00C032}"/>
            </c:ext>
          </c:extLst>
        </c:ser>
        <c:ser>
          <c:idx val="1"/>
          <c:order val="1"/>
          <c:tx>
            <c:strRef>
              <c:f>'Άσκηση 3'!$D$14</c:f>
              <c:strCache>
                <c:ptCount val="1"/>
                <c:pt idx="0">
                  <c:v>ΚΠΑ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'Άσκηση 3'!$D$15:$D$39</c:f>
              <c:numCache>
                <c:formatCode>General</c:formatCode>
                <c:ptCount val="25"/>
                <c:pt idx="0">
                  <c:v>-1.6763062444858292</c:v>
                </c:pt>
                <c:pt idx="1">
                  <c:v>-1.3840830449827024</c:v>
                </c:pt>
                <c:pt idx="2">
                  <c:v>-1.1216891318691609</c:v>
                </c:pt>
                <c:pt idx="3">
                  <c:v>-0.88757396449703663</c:v>
                </c:pt>
                <c:pt idx="4">
                  <c:v>-0.68027210884353906</c:v>
                </c:pt>
                <c:pt idx="5">
                  <c:v>-0.4983980064079816</c:v>
                </c:pt>
                <c:pt idx="6">
                  <c:v>-0.34064110402655956</c:v>
                </c:pt>
                <c:pt idx="7">
                  <c:v>-0.20576131687242594</c:v>
                </c:pt>
                <c:pt idx="8">
                  <c:v>-9.258479925932761E-2</c:v>
                </c:pt>
                <c:pt idx="9">
                  <c:v>0</c:v>
                </c:pt>
                <c:pt idx="10">
                  <c:v>7.3046018991973938E-2</c:v>
                </c:pt>
                <c:pt idx="11">
                  <c:v>0.12755102040816269</c:v>
                </c:pt>
                <c:pt idx="12">
                  <c:v>0.16446080350849002</c:v>
                </c:pt>
                <c:pt idx="13">
                  <c:v>0.18467220683287167</c:v>
                </c:pt>
                <c:pt idx="14">
                  <c:v>0.18903591682419574</c:v>
                </c:pt>
                <c:pt idx="15">
                  <c:v>0.17835909631391189</c:v>
                </c:pt>
                <c:pt idx="16">
                  <c:v>0.15340784571553456</c:v>
                </c:pt>
                <c:pt idx="17">
                  <c:v>0.1149095087618548</c:v>
                </c:pt>
                <c:pt idx="18">
                  <c:v>6.355483369819126E-2</c:v>
                </c:pt>
                <c:pt idx="19">
                  <c:v>0</c:v>
                </c:pt>
                <c:pt idx="20">
                  <c:v>-7.5131480090163905E-2</c:v>
                </c:pt>
                <c:pt idx="21">
                  <c:v>-0.1612469766191964</c:v>
                </c:pt>
                <c:pt idx="22">
                  <c:v>-0.25778306563553599</c:v>
                </c:pt>
                <c:pt idx="23">
                  <c:v>-0.36420395421436069</c:v>
                </c:pt>
                <c:pt idx="24">
                  <c:v>-0.47999999999998977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49-40C3-B8B6-1500EF00C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942215"/>
        <c:axId val="214945287"/>
      </c:lineChart>
      <c:catAx>
        <c:axId val="214942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945287"/>
        <c:crosses val="autoZero"/>
        <c:auto val="1"/>
        <c:lblAlgn val="ctr"/>
        <c:lblOffset val="100"/>
        <c:noMultiLvlLbl val="0"/>
      </c:catAx>
      <c:valAx>
        <c:axId val="214945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942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44</xdr:row>
      <xdr:rowOff>142875</xdr:rowOff>
    </xdr:from>
    <xdr:to>
      <xdr:col>13</xdr:col>
      <xdr:colOff>381000</xdr:colOff>
      <xdr:row>58</xdr:row>
      <xdr:rowOff>85725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BF26637A-076F-0865-B957-6F8FB0CFC5D2}"/>
            </a:ext>
            <a:ext uri="{147F2762-F138-4A5C-976F-8EAC2B608ADB}">
              <a16:predDERef xmlns:a16="http://schemas.microsoft.com/office/drawing/2014/main" pred="{5C39F907-CFAE-CE9E-75C5-86E7F5724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523875</xdr:colOff>
      <xdr:row>18</xdr:row>
      <xdr:rowOff>95250</xdr:rowOff>
    </xdr:from>
    <xdr:to>
      <xdr:col>14</xdr:col>
      <xdr:colOff>219075</xdr:colOff>
      <xdr:row>32</xdr:row>
      <xdr:rowOff>171450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4A56FE65-2425-11F4-190A-A6068AD27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opLeftCell="C57" workbookViewId="0">
      <selection activeCell="C1" sqref="C1:N71"/>
    </sheetView>
  </sheetViews>
  <sheetFormatPr defaultRowHeight="14.4" x14ac:dyDescent="0.3"/>
  <cols>
    <col min="1" max="1" width="13.44140625" customWidth="1"/>
    <col min="2" max="2" width="3.33203125" customWidth="1"/>
    <col min="3" max="3" width="10" customWidth="1"/>
    <col min="4" max="4" width="11.88671875" bestFit="1" customWidth="1"/>
    <col min="5" max="5" width="12" bestFit="1" customWidth="1"/>
    <col min="8" max="8" width="11.5546875" customWidth="1"/>
  </cols>
  <sheetData>
    <row r="1" spans="1:12" x14ac:dyDescent="0.3">
      <c r="A1" s="2"/>
      <c r="B1" s="2"/>
      <c r="C1" s="2"/>
      <c r="D1" s="2"/>
      <c r="E1" s="2"/>
      <c r="F1" s="2"/>
      <c r="G1" s="2"/>
      <c r="H1" s="2"/>
    </row>
    <row r="2" spans="1:12" x14ac:dyDescent="0.3">
      <c r="A2" s="2"/>
      <c r="B2" s="2"/>
      <c r="C2" s="2"/>
      <c r="D2" s="2"/>
      <c r="E2" s="2"/>
      <c r="F2" s="2"/>
      <c r="G2" s="2"/>
      <c r="H2" s="2"/>
    </row>
    <row r="3" spans="1:12" ht="18" x14ac:dyDescent="0.3">
      <c r="A3" s="40" t="s">
        <v>0</v>
      </c>
      <c r="B3" s="24"/>
      <c r="C3" s="41" t="s">
        <v>1</v>
      </c>
      <c r="D3" s="28" t="s">
        <v>2</v>
      </c>
      <c r="E3" s="30" t="s">
        <v>3</v>
      </c>
      <c r="F3" s="2"/>
      <c r="G3" s="30" t="s">
        <v>4</v>
      </c>
      <c r="H3" s="42">
        <v>0.09</v>
      </c>
      <c r="L3" s="2"/>
    </row>
    <row r="4" spans="1:12" ht="15.6" x14ac:dyDescent="0.3">
      <c r="A4" s="2"/>
      <c r="B4" s="2"/>
      <c r="C4" s="6">
        <v>0</v>
      </c>
      <c r="D4" s="29">
        <v>-1500</v>
      </c>
      <c r="E4" s="29">
        <v>-2900</v>
      </c>
      <c r="F4" s="2"/>
      <c r="G4" s="2"/>
      <c r="H4" s="2"/>
      <c r="L4" s="2"/>
    </row>
    <row r="5" spans="1:12" ht="15.6" x14ac:dyDescent="0.3">
      <c r="A5" s="2"/>
      <c r="B5" s="2"/>
      <c r="C5" s="6">
        <v>1</v>
      </c>
      <c r="D5" s="29">
        <v>600</v>
      </c>
      <c r="E5" s="29">
        <v>900</v>
      </c>
      <c r="F5" s="2"/>
      <c r="G5" s="2"/>
      <c r="H5" s="2"/>
      <c r="L5" s="2"/>
    </row>
    <row r="6" spans="1:12" ht="15.6" x14ac:dyDescent="0.3">
      <c r="A6" s="2"/>
      <c r="B6" s="2"/>
      <c r="C6" s="6">
        <v>2</v>
      </c>
      <c r="D6" s="29">
        <v>700</v>
      </c>
      <c r="E6" s="29">
        <v>1300</v>
      </c>
      <c r="F6" s="2"/>
      <c r="G6" s="2"/>
      <c r="H6" s="2"/>
      <c r="L6" s="2"/>
    </row>
    <row r="7" spans="1:12" ht="15.6" x14ac:dyDescent="0.3">
      <c r="A7" s="2"/>
      <c r="B7" s="2"/>
      <c r="C7" s="25">
        <v>3</v>
      </c>
      <c r="D7" s="31">
        <v>800</v>
      </c>
      <c r="E7" s="29">
        <v>1700</v>
      </c>
      <c r="F7" s="2"/>
      <c r="G7" s="2"/>
      <c r="H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L8" s="2"/>
    </row>
    <row r="9" spans="1:12" ht="15.6" x14ac:dyDescent="0.3">
      <c r="A9" s="2"/>
      <c r="B9" s="2"/>
      <c r="C9" s="4" t="s">
        <v>5</v>
      </c>
      <c r="D9" s="29">
        <f>NPV(H3,D5:D7)</f>
        <v>1757.3814949317734</v>
      </c>
      <c r="E9" s="29">
        <f>NPV(H3,E5:E7)</f>
        <v>3232.5839807448319</v>
      </c>
      <c r="F9" s="2"/>
      <c r="G9" s="2"/>
      <c r="H9" s="2"/>
      <c r="L9" s="2"/>
    </row>
    <row r="10" spans="1:12" ht="15.6" x14ac:dyDescent="0.3">
      <c r="A10" s="2"/>
      <c r="B10" s="2"/>
      <c r="C10" s="28" t="s">
        <v>6</v>
      </c>
      <c r="D10" s="27">
        <f>D9+D4</f>
        <v>257.38149493177343</v>
      </c>
      <c r="E10" s="27">
        <f>E9+E4</f>
        <v>332.58398074483193</v>
      </c>
      <c r="F10" s="2"/>
      <c r="G10" s="2"/>
      <c r="H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2"/>
    </row>
    <row r="12" spans="1:12" x14ac:dyDescent="0.3">
      <c r="A12" s="2"/>
      <c r="B12" s="2"/>
      <c r="C12" s="2"/>
      <c r="D12" s="2"/>
      <c r="E12" s="2"/>
      <c r="F12" s="2"/>
      <c r="G12" s="2"/>
      <c r="H12" s="2"/>
    </row>
    <row r="13" spans="1:12" x14ac:dyDescent="0.3">
      <c r="A13" s="2"/>
      <c r="B13" s="2"/>
      <c r="C13" s="2"/>
      <c r="D13" s="2"/>
      <c r="E13" s="2"/>
      <c r="F13" s="2"/>
      <c r="G13" s="2"/>
      <c r="H13" s="2"/>
    </row>
    <row r="14" spans="1:12" ht="15.6" x14ac:dyDescent="0.3">
      <c r="A14" s="39" t="s">
        <v>7</v>
      </c>
      <c r="B14" s="33"/>
      <c r="C14" s="38" t="s">
        <v>8</v>
      </c>
      <c r="D14" s="28" t="s">
        <v>9</v>
      </c>
      <c r="E14" s="28" t="s">
        <v>10</v>
      </c>
      <c r="F14" s="2"/>
      <c r="G14" s="28" t="s">
        <v>11</v>
      </c>
      <c r="H14" s="32">
        <f>IRR(D4:D7)</f>
        <v>0.1792504106601025</v>
      </c>
    </row>
    <row r="15" spans="1:12" ht="15.6" x14ac:dyDescent="0.3">
      <c r="A15" s="34"/>
      <c r="B15" s="34"/>
      <c r="C15" s="35">
        <v>0.01</v>
      </c>
      <c r="D15" s="26">
        <f>NPV(C15,$D$5:$D$7)+$D$4</f>
        <v>556.73875886755422</v>
      </c>
      <c r="E15" s="26">
        <f>NPV(C15,$E$5:$E$7)+$E$4</f>
        <v>915.47722461688363</v>
      </c>
      <c r="F15" s="2"/>
      <c r="G15" s="28" t="s">
        <v>12</v>
      </c>
      <c r="H15" s="32">
        <f>IRR(E4:E7)</f>
        <v>0.14688092787843532</v>
      </c>
    </row>
    <row r="16" spans="1:12" ht="15.6" x14ac:dyDescent="0.3">
      <c r="A16" s="34"/>
      <c r="B16" s="34"/>
      <c r="C16" s="35">
        <v>0.02</v>
      </c>
      <c r="D16" s="26">
        <f t="shared" ref="D16:D39" si="0">NPV(C16,$D$5:$D$7)+$D$4</f>
        <v>514.91130862187242</v>
      </c>
      <c r="E16" s="26">
        <f t="shared" ref="E16:E39" si="1">NPV(C16,$E$5:$E$7)+$E$4</f>
        <v>833.82032551582734</v>
      </c>
      <c r="F16" s="2"/>
      <c r="G16" s="2"/>
      <c r="H16" s="2"/>
    </row>
    <row r="17" spans="1:8" ht="15.6" x14ac:dyDescent="0.3">
      <c r="A17" s="34"/>
      <c r="B17" s="34"/>
      <c r="C17" s="35">
        <v>0.03</v>
      </c>
      <c r="D17" s="26">
        <f t="shared" si="0"/>
        <v>474.45473572081573</v>
      </c>
      <c r="E17" s="26">
        <f t="shared" si="1"/>
        <v>754.90191054124216</v>
      </c>
      <c r="F17" s="2"/>
      <c r="G17" s="2"/>
      <c r="H17" s="2"/>
    </row>
    <row r="18" spans="1:8" ht="15.6" x14ac:dyDescent="0.3">
      <c r="A18" s="34"/>
      <c r="B18" s="34"/>
      <c r="C18" s="35">
        <v>0.04</v>
      </c>
      <c r="D18" s="26">
        <f t="shared" si="0"/>
        <v>435.30951297223487</v>
      </c>
      <c r="E18" s="26">
        <f t="shared" si="1"/>
        <v>678.60150204824731</v>
      </c>
      <c r="F18" s="2"/>
      <c r="G18" s="2"/>
      <c r="H18" s="2"/>
    </row>
    <row r="19" spans="1:8" ht="15.6" x14ac:dyDescent="0.3">
      <c r="A19" s="34"/>
      <c r="B19" s="34"/>
      <c r="C19" s="35">
        <v>0.05</v>
      </c>
      <c r="D19" s="26">
        <f t="shared" si="0"/>
        <v>397.41928517438714</v>
      </c>
      <c r="E19" s="26">
        <f t="shared" si="1"/>
        <v>604.80509664183137</v>
      </c>
      <c r="F19" s="2"/>
      <c r="G19" s="2"/>
      <c r="H19" s="2"/>
    </row>
    <row r="20" spans="1:8" ht="15.6" x14ac:dyDescent="0.3">
      <c r="A20" s="34"/>
      <c r="B20" s="34"/>
      <c r="C20" s="35">
        <v>0.06</v>
      </c>
      <c r="D20" s="26">
        <f t="shared" si="0"/>
        <v>360.73067028486594</v>
      </c>
      <c r="E20" s="26">
        <f t="shared" si="1"/>
        <v>533.40475694700899</v>
      </c>
      <c r="F20" s="2"/>
      <c r="G20" s="2"/>
      <c r="H20" s="2"/>
    </row>
    <row r="21" spans="1:8" ht="15.6" x14ac:dyDescent="0.3">
      <c r="A21" s="34"/>
      <c r="B21" s="34"/>
      <c r="C21" s="35">
        <v>7.0000000000000007E-2</v>
      </c>
      <c r="D21" s="26">
        <f t="shared" si="0"/>
        <v>325.19307485533136</v>
      </c>
      <c r="E21" s="26">
        <f t="shared" si="1"/>
        <v>464.2982327967261</v>
      </c>
      <c r="F21" s="2"/>
      <c r="G21" s="2"/>
      <c r="H21" s="2"/>
    </row>
    <row r="22" spans="1:8" ht="15.6" x14ac:dyDescent="0.3">
      <c r="A22" s="34"/>
      <c r="B22" s="34"/>
      <c r="C22" s="35">
        <v>0.08</v>
      </c>
      <c r="D22" s="26">
        <f t="shared" si="0"/>
        <v>290.75852258293958</v>
      </c>
      <c r="E22" s="26">
        <f t="shared" si="1"/>
        <v>397.38860945993929</v>
      </c>
      <c r="F22" s="2"/>
      <c r="G22" s="2"/>
      <c r="H22" s="2"/>
    </row>
    <row r="23" spans="1:8" ht="15.6" x14ac:dyDescent="0.3">
      <c r="A23" s="34"/>
      <c r="B23" s="34"/>
      <c r="C23" s="35">
        <v>0.09</v>
      </c>
      <c r="D23" s="26">
        <f t="shared" si="0"/>
        <v>257.38149493177343</v>
      </c>
      <c r="E23" s="26">
        <f t="shared" si="1"/>
        <v>332.58398074483193</v>
      </c>
      <c r="F23" s="2"/>
      <c r="G23" s="2"/>
      <c r="H23" s="2"/>
    </row>
    <row r="24" spans="1:8" ht="15.6" x14ac:dyDescent="0.3">
      <c r="A24" s="34"/>
      <c r="B24" s="34"/>
      <c r="C24" s="35">
        <v>0.1</v>
      </c>
      <c r="D24" s="26">
        <f t="shared" si="0"/>
        <v>225.01878287002228</v>
      </c>
      <c r="E24" s="26">
        <f t="shared" si="1"/>
        <v>269.79714500375667</v>
      </c>
      <c r="F24" s="2"/>
      <c r="G24" s="2"/>
      <c r="H24" s="2"/>
    </row>
    <row r="25" spans="1:8" ht="15.6" x14ac:dyDescent="0.3">
      <c r="A25" s="34"/>
      <c r="B25" s="34"/>
      <c r="C25" s="35">
        <v>0.11</v>
      </c>
      <c r="D25" s="26">
        <f t="shared" si="0"/>
        <v>193.62934885213895</v>
      </c>
      <c r="E25" s="26">
        <f t="shared" si="1"/>
        <v>208.94532223969736</v>
      </c>
      <c r="F25" s="2"/>
      <c r="G25" s="2"/>
      <c r="H25" s="2"/>
    </row>
    <row r="26" spans="1:8" ht="15.6" x14ac:dyDescent="0.3">
      <c r="A26" s="34"/>
      <c r="B26" s="34"/>
      <c r="C26" s="35">
        <v>0.12</v>
      </c>
      <c r="D26" s="26">
        <f t="shared" si="0"/>
        <v>163.17419825072875</v>
      </c>
      <c r="E26" s="26">
        <f t="shared" si="1"/>
        <v>149.94989067055303</v>
      </c>
      <c r="F26" s="2"/>
      <c r="G26" s="2"/>
      <c r="H26" s="2"/>
    </row>
    <row r="27" spans="1:8" ht="15.6" x14ac:dyDescent="0.3">
      <c r="A27" s="34"/>
      <c r="B27" s="34"/>
      <c r="C27" s="35">
        <v>0.13</v>
      </c>
      <c r="D27" s="26">
        <f t="shared" si="0"/>
        <v>133.61625951124779</v>
      </c>
      <c r="E27" s="26">
        <f t="shared" si="1"/>
        <v>92.736141249168213</v>
      </c>
      <c r="F27" s="2"/>
      <c r="G27" s="2"/>
      <c r="H27" s="2"/>
    </row>
    <row r="28" spans="1:8" ht="15.6" x14ac:dyDescent="0.3">
      <c r="A28" s="34"/>
      <c r="B28" s="34"/>
      <c r="C28" s="35">
        <v>0.14000000000000001</v>
      </c>
      <c r="D28" s="26">
        <f t="shared" si="0"/>
        <v>104.92027236450599</v>
      </c>
      <c r="E28" s="26">
        <f t="shared" si="1"/>
        <v>37.233048765341209</v>
      </c>
      <c r="F28" s="2"/>
      <c r="G28" s="2"/>
      <c r="H28" s="2"/>
    </row>
    <row r="29" spans="1:8" ht="15.6" x14ac:dyDescent="0.3">
      <c r="A29" s="34"/>
      <c r="B29" s="34"/>
      <c r="C29" s="36">
        <v>0.14688093741708499</v>
      </c>
      <c r="D29" s="26">
        <f t="shared" si="0"/>
        <v>85.657822889934323</v>
      </c>
      <c r="E29" s="37">
        <f t="shared" si="1"/>
        <v>-5.1078757678624243E-5</v>
      </c>
      <c r="F29" s="2"/>
      <c r="G29" s="2"/>
      <c r="H29" s="2"/>
    </row>
    <row r="30" spans="1:8" ht="15.6" x14ac:dyDescent="0.3">
      <c r="A30" s="34"/>
      <c r="B30" s="34"/>
      <c r="C30" s="35">
        <v>0.16</v>
      </c>
      <c r="D30" s="26">
        <f t="shared" si="0"/>
        <v>49.981549059002191</v>
      </c>
      <c r="E30" s="26">
        <f t="shared" si="1"/>
        <v>-68.908114313829628</v>
      </c>
      <c r="F30" s="2"/>
      <c r="G30" s="2"/>
      <c r="H30" s="2"/>
    </row>
    <row r="31" spans="1:8" ht="15.6" x14ac:dyDescent="0.3">
      <c r="A31" s="34"/>
      <c r="B31" s="34"/>
      <c r="C31" s="35">
        <v>0.17</v>
      </c>
      <c r="D31" s="26">
        <f t="shared" si="0"/>
        <v>23.676443685209961</v>
      </c>
      <c r="E31" s="26">
        <f t="shared" si="1"/>
        <v>-119.67166849919386</v>
      </c>
      <c r="F31" s="2"/>
      <c r="G31" s="2"/>
      <c r="H31" s="2"/>
    </row>
    <row r="32" spans="1:8" ht="15.6" x14ac:dyDescent="0.3">
      <c r="A32" s="34"/>
      <c r="B32" s="34"/>
      <c r="C32" s="36">
        <v>0.179250409048373</v>
      </c>
      <c r="D32" s="27">
        <f t="shared" si="0"/>
        <v>4.0715692648518598E-6</v>
      </c>
      <c r="E32" s="26">
        <f t="shared" si="1"/>
        <v>-165.32943686078033</v>
      </c>
      <c r="F32" s="2"/>
      <c r="G32" s="2"/>
      <c r="H32" s="2"/>
    </row>
    <row r="33" spans="1:8" ht="15.6" x14ac:dyDescent="0.3">
      <c r="A33" s="34"/>
      <c r="B33" s="34"/>
      <c r="C33" s="35">
        <v>0.19</v>
      </c>
      <c r="D33" s="26">
        <f t="shared" si="0"/>
        <v>-26.750294779305477</v>
      </c>
      <c r="E33" s="26">
        <f t="shared" si="1"/>
        <v>-216.87633036407806</v>
      </c>
      <c r="F33" s="2"/>
      <c r="G33" s="2"/>
      <c r="H33" s="2"/>
    </row>
    <row r="34" spans="1:8" ht="15.6" x14ac:dyDescent="0.3">
      <c r="A34" s="34"/>
      <c r="B34" s="34"/>
      <c r="C34" s="35">
        <v>0.2</v>
      </c>
      <c r="D34" s="26">
        <f t="shared" si="0"/>
        <v>-50.92592592592564</v>
      </c>
      <c r="E34" s="26">
        <f t="shared" si="1"/>
        <v>-263.42592592592564</v>
      </c>
      <c r="F34" s="2"/>
      <c r="G34" s="2"/>
      <c r="H34" s="2"/>
    </row>
    <row r="35" spans="1:8" ht="15.6" x14ac:dyDescent="0.3">
      <c r="A35" s="34"/>
      <c r="B35" s="34"/>
      <c r="C35" s="35">
        <v>0.21</v>
      </c>
      <c r="D35" s="26">
        <f t="shared" si="0"/>
        <v>-74.443668606387291</v>
      </c>
      <c r="E35" s="26">
        <f t="shared" si="1"/>
        <v>-308.67517404142427</v>
      </c>
      <c r="F35" s="2"/>
      <c r="G35" s="2"/>
      <c r="H35" s="2"/>
    </row>
    <row r="36" spans="1:8" ht="15.6" x14ac:dyDescent="0.3">
      <c r="A36" s="34"/>
      <c r="B36" s="34"/>
      <c r="C36" s="35">
        <v>0.22</v>
      </c>
      <c r="D36" s="26">
        <f t="shared" si="0"/>
        <v>-97.327529617016353</v>
      </c>
      <c r="E36" s="26">
        <f t="shared" si="1"/>
        <v>-352.67225010022867</v>
      </c>
      <c r="F36" s="2"/>
      <c r="G36" s="2"/>
      <c r="H36" s="2"/>
    </row>
    <row r="37" spans="1:8" ht="15.6" x14ac:dyDescent="0.3">
      <c r="A37" s="34"/>
      <c r="B37" s="34"/>
      <c r="C37" s="35">
        <v>0.23</v>
      </c>
      <c r="D37" s="26">
        <f t="shared" si="0"/>
        <v>-119.60043356134543</v>
      </c>
      <c r="E37" s="26">
        <f t="shared" si="1"/>
        <v>-395.46313626927622</v>
      </c>
      <c r="F37" s="2"/>
      <c r="G37" s="2"/>
      <c r="H37" s="2"/>
    </row>
    <row r="38" spans="1:8" ht="15.6" x14ac:dyDescent="0.3">
      <c r="A38" s="34"/>
      <c r="B38" s="34"/>
      <c r="C38" s="35">
        <v>0.24</v>
      </c>
      <c r="D38" s="26">
        <f t="shared" si="0"/>
        <v>-141.28428048739556</v>
      </c>
      <c r="E38" s="26">
        <f t="shared" si="1"/>
        <v>-437.09173911584048</v>
      </c>
      <c r="F38" s="2"/>
      <c r="G38" s="2"/>
      <c r="H38" s="2"/>
    </row>
    <row r="39" spans="1:8" ht="15.6" x14ac:dyDescent="0.3">
      <c r="A39" s="34"/>
      <c r="B39" s="34"/>
      <c r="C39" s="35">
        <v>0.25</v>
      </c>
      <c r="D39" s="26">
        <f t="shared" si="0"/>
        <v>-162.40000000000009</v>
      </c>
      <c r="E39" s="26">
        <f t="shared" si="1"/>
        <v>-477.59999999999991</v>
      </c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ht="15.6" x14ac:dyDescent="0.3">
      <c r="A44" s="39" t="s">
        <v>13</v>
      </c>
      <c r="B44" s="33"/>
      <c r="C44" s="38" t="s">
        <v>8</v>
      </c>
      <c r="D44" s="28" t="s">
        <v>9</v>
      </c>
      <c r="E44" s="28" t="s">
        <v>10</v>
      </c>
      <c r="F44" s="2"/>
      <c r="G44" s="2"/>
      <c r="H44" s="2"/>
    </row>
    <row r="45" spans="1:8" ht="15.6" x14ac:dyDescent="0.3">
      <c r="A45" s="2"/>
      <c r="B45" s="34"/>
      <c r="C45" s="35">
        <v>0.01</v>
      </c>
      <c r="D45" s="26">
        <f>NPV(C45,$D$5:$D$7)+$D$4</f>
        <v>556.73875886755422</v>
      </c>
      <c r="E45" s="26">
        <f>NPV(C45,$E$5:$E$7)+$E$4</f>
        <v>915.47722461688363</v>
      </c>
      <c r="F45" s="2"/>
      <c r="G45" s="2"/>
      <c r="H45" s="2"/>
    </row>
    <row r="46" spans="1:8" ht="15.6" x14ac:dyDescent="0.3">
      <c r="A46" s="2"/>
      <c r="B46" s="34"/>
      <c r="C46" s="35">
        <v>0.02</v>
      </c>
      <c r="D46" s="26">
        <f t="shared" ref="D46:D70" si="2">NPV(C46,$D$5:$D$7)+$D$4</f>
        <v>514.91130862187242</v>
      </c>
      <c r="E46" s="26">
        <f t="shared" ref="E46:E70" si="3">NPV(C46,$E$5:$E$7)+$E$4</f>
        <v>833.82032551582734</v>
      </c>
      <c r="F46" s="2"/>
      <c r="G46" s="2"/>
      <c r="H46" s="2"/>
    </row>
    <row r="47" spans="1:8" ht="15.6" x14ac:dyDescent="0.3">
      <c r="A47" s="2"/>
      <c r="B47" s="34"/>
      <c r="C47" s="35">
        <v>0.03</v>
      </c>
      <c r="D47" s="26">
        <f t="shared" si="2"/>
        <v>474.45473572081573</v>
      </c>
      <c r="E47" s="26">
        <f t="shared" si="3"/>
        <v>754.90191054124216</v>
      </c>
      <c r="F47" s="2"/>
      <c r="G47" s="2"/>
      <c r="H47" s="2"/>
    </row>
    <row r="48" spans="1:8" ht="15.6" x14ac:dyDescent="0.3">
      <c r="A48" s="2"/>
      <c r="B48" s="34"/>
      <c r="C48" s="35">
        <v>0.04</v>
      </c>
      <c r="D48" s="26">
        <f t="shared" si="2"/>
        <v>435.30951297223487</v>
      </c>
      <c r="E48" s="26">
        <f t="shared" si="3"/>
        <v>678.60150204824731</v>
      </c>
      <c r="F48" s="2"/>
      <c r="G48" s="2"/>
      <c r="H48" s="2"/>
    </row>
    <row r="49" spans="1:8" ht="15.6" x14ac:dyDescent="0.3">
      <c r="A49" s="2"/>
      <c r="B49" s="34"/>
      <c r="C49" s="35">
        <v>0.05</v>
      </c>
      <c r="D49" s="26">
        <f t="shared" si="2"/>
        <v>397.41928517438714</v>
      </c>
      <c r="E49" s="26">
        <f t="shared" si="3"/>
        <v>604.80509664183137</v>
      </c>
      <c r="F49" s="2"/>
      <c r="G49" s="2"/>
      <c r="H49" s="2"/>
    </row>
    <row r="50" spans="1:8" ht="15.6" x14ac:dyDescent="0.3">
      <c r="A50" s="2"/>
      <c r="B50" s="34"/>
      <c r="C50" s="35">
        <v>0.06</v>
      </c>
      <c r="D50" s="26">
        <f t="shared" si="2"/>
        <v>360.73067028486594</v>
      </c>
      <c r="E50" s="26">
        <f t="shared" si="3"/>
        <v>533.40475694700899</v>
      </c>
      <c r="F50" s="2"/>
      <c r="G50" s="2"/>
      <c r="H50" s="2"/>
    </row>
    <row r="51" spans="1:8" ht="15.6" x14ac:dyDescent="0.3">
      <c r="A51" s="2"/>
      <c r="B51" s="34"/>
      <c r="C51" s="35">
        <v>7.0000000000000007E-2</v>
      </c>
      <c r="D51" s="26">
        <f t="shared" si="2"/>
        <v>325.19307485533136</v>
      </c>
      <c r="E51" s="26">
        <f t="shared" si="3"/>
        <v>464.2982327967261</v>
      </c>
      <c r="F51" s="2"/>
      <c r="G51" s="2"/>
      <c r="H51" s="2"/>
    </row>
    <row r="52" spans="1:8" ht="15.6" x14ac:dyDescent="0.3">
      <c r="A52" s="2"/>
      <c r="B52" s="34"/>
      <c r="C52" s="35">
        <v>0.08</v>
      </c>
      <c r="D52" s="26">
        <f t="shared" si="2"/>
        <v>290.75852258293958</v>
      </c>
      <c r="E52" s="26">
        <f t="shared" si="3"/>
        <v>397.38860945993929</v>
      </c>
      <c r="F52" s="2"/>
      <c r="G52" s="2"/>
      <c r="H52" s="2"/>
    </row>
    <row r="53" spans="1:8" ht="15.6" x14ac:dyDescent="0.3">
      <c r="A53" s="2"/>
      <c r="B53" s="34"/>
      <c r="C53" s="35">
        <v>0.09</v>
      </c>
      <c r="D53" s="26">
        <f t="shared" si="2"/>
        <v>257.38149493177343</v>
      </c>
      <c r="E53" s="26">
        <f t="shared" si="3"/>
        <v>332.58398074483193</v>
      </c>
      <c r="F53" s="2"/>
      <c r="G53" s="2"/>
      <c r="H53" s="2"/>
    </row>
    <row r="54" spans="1:8" ht="15.6" x14ac:dyDescent="0.3">
      <c r="A54" s="2"/>
      <c r="B54" s="34"/>
      <c r="C54" s="35">
        <v>0.1</v>
      </c>
      <c r="D54" s="26">
        <f t="shared" si="2"/>
        <v>225.01878287002228</v>
      </c>
      <c r="E54" s="26">
        <f t="shared" si="3"/>
        <v>269.79714500375667</v>
      </c>
      <c r="F54" s="2"/>
      <c r="G54" s="2"/>
      <c r="H54" s="2"/>
    </row>
    <row r="55" spans="1:8" ht="15.6" x14ac:dyDescent="0.3">
      <c r="A55" s="2"/>
      <c r="B55" s="34"/>
      <c r="C55" s="35">
        <v>0.11</v>
      </c>
      <c r="D55" s="26">
        <f t="shared" si="2"/>
        <v>193.62934885213895</v>
      </c>
      <c r="E55" s="26">
        <f t="shared" si="3"/>
        <v>208.94532223969736</v>
      </c>
      <c r="F55" s="2"/>
      <c r="G55" s="2"/>
      <c r="H55" s="2"/>
    </row>
    <row r="56" spans="1:8" ht="15.6" x14ac:dyDescent="0.3">
      <c r="A56" s="2"/>
      <c r="B56" s="34"/>
      <c r="C56" s="43">
        <v>0.115</v>
      </c>
      <c r="D56" s="27">
        <v>179</v>
      </c>
      <c r="E56" s="27">
        <v>179</v>
      </c>
      <c r="F56" s="2"/>
      <c r="G56" s="2"/>
      <c r="H56" s="2"/>
    </row>
    <row r="57" spans="1:8" ht="15.6" x14ac:dyDescent="0.3">
      <c r="A57" s="2"/>
      <c r="B57" s="34"/>
      <c r="C57" s="35">
        <v>0.12</v>
      </c>
      <c r="D57" s="26">
        <f t="shared" si="2"/>
        <v>163.17419825072875</v>
      </c>
      <c r="E57" s="26">
        <f t="shared" si="3"/>
        <v>149.94989067055303</v>
      </c>
      <c r="F57" s="2"/>
      <c r="G57" s="2"/>
      <c r="H57" s="2"/>
    </row>
    <row r="58" spans="1:8" ht="15.6" x14ac:dyDescent="0.3">
      <c r="A58" s="2"/>
      <c r="B58" s="34"/>
      <c r="C58" s="35">
        <v>0.13</v>
      </c>
      <c r="D58" s="26">
        <f t="shared" si="2"/>
        <v>133.61625951124779</v>
      </c>
      <c r="E58" s="26">
        <f t="shared" si="3"/>
        <v>92.736141249168213</v>
      </c>
      <c r="F58" s="2"/>
      <c r="G58" s="2"/>
      <c r="H58" s="2"/>
    </row>
    <row r="59" spans="1:8" ht="15.6" x14ac:dyDescent="0.3">
      <c r="A59" s="2"/>
      <c r="B59" s="34"/>
      <c r="C59" s="35">
        <v>0.14000000000000001</v>
      </c>
      <c r="D59" s="26">
        <f t="shared" si="2"/>
        <v>104.92027236450599</v>
      </c>
      <c r="E59" s="26">
        <f t="shared" si="3"/>
        <v>37.233048765341209</v>
      </c>
      <c r="F59" s="2"/>
      <c r="G59" s="2"/>
      <c r="H59" s="2"/>
    </row>
    <row r="60" spans="1:8" ht="15.6" x14ac:dyDescent="0.3">
      <c r="A60" s="2"/>
      <c r="B60" s="34"/>
      <c r="C60" s="36">
        <v>0.14688093741708499</v>
      </c>
      <c r="D60" s="26">
        <f t="shared" si="2"/>
        <v>85.657822889934323</v>
      </c>
      <c r="E60" s="37">
        <f t="shared" si="3"/>
        <v>-5.1078757678624243E-5</v>
      </c>
      <c r="F60" s="2"/>
      <c r="G60" s="2"/>
      <c r="H60" s="2"/>
    </row>
    <row r="61" spans="1:8" ht="15.6" x14ac:dyDescent="0.3">
      <c r="A61" s="2"/>
      <c r="B61" s="34"/>
      <c r="C61" s="35">
        <v>0.16</v>
      </c>
      <c r="D61" s="26">
        <f t="shared" si="2"/>
        <v>49.981549059002191</v>
      </c>
      <c r="E61" s="26">
        <f t="shared" si="3"/>
        <v>-68.908114313829628</v>
      </c>
      <c r="F61" s="2"/>
      <c r="G61" s="2"/>
      <c r="H61" s="2"/>
    </row>
    <row r="62" spans="1:8" ht="15.6" x14ac:dyDescent="0.3">
      <c r="A62" s="2"/>
      <c r="B62" s="34"/>
      <c r="C62" s="35">
        <v>0.17</v>
      </c>
      <c r="D62" s="26">
        <f t="shared" si="2"/>
        <v>23.676443685209961</v>
      </c>
      <c r="E62" s="26">
        <f t="shared" si="3"/>
        <v>-119.67166849919386</v>
      </c>
      <c r="F62" s="2"/>
      <c r="G62" s="2"/>
      <c r="H62" s="2"/>
    </row>
    <row r="63" spans="1:8" ht="15.6" x14ac:dyDescent="0.3">
      <c r="A63" s="2"/>
      <c r="B63" s="34"/>
      <c r="C63" s="36">
        <v>0.179250409048373</v>
      </c>
      <c r="D63" s="27">
        <f t="shared" si="2"/>
        <v>4.0715692648518598E-6</v>
      </c>
      <c r="E63" s="26">
        <f t="shared" si="3"/>
        <v>-165.32943686078033</v>
      </c>
      <c r="F63" s="2"/>
      <c r="G63" s="2"/>
      <c r="H63" s="2"/>
    </row>
    <row r="64" spans="1:8" ht="15.6" x14ac:dyDescent="0.3">
      <c r="A64" s="2"/>
      <c r="B64" s="34"/>
      <c r="C64" s="35">
        <v>0.19</v>
      </c>
      <c r="D64" s="26">
        <f t="shared" si="2"/>
        <v>-26.750294779305477</v>
      </c>
      <c r="E64" s="26">
        <f t="shared" si="3"/>
        <v>-216.87633036407806</v>
      </c>
      <c r="F64" s="2"/>
      <c r="G64" s="2"/>
      <c r="H64" s="2"/>
    </row>
    <row r="65" spans="1:8" ht="15.6" x14ac:dyDescent="0.3">
      <c r="A65" s="2"/>
      <c r="B65" s="34"/>
      <c r="C65" s="35">
        <v>0.2</v>
      </c>
      <c r="D65" s="26">
        <f t="shared" si="2"/>
        <v>-50.92592592592564</v>
      </c>
      <c r="E65" s="26">
        <f t="shared" si="3"/>
        <v>-263.42592592592564</v>
      </c>
      <c r="F65" s="2"/>
      <c r="G65" s="2"/>
      <c r="H65" s="2"/>
    </row>
    <row r="66" spans="1:8" ht="15.6" x14ac:dyDescent="0.3">
      <c r="A66" s="2"/>
      <c r="B66" s="34"/>
      <c r="C66" s="35">
        <v>0.21</v>
      </c>
      <c r="D66" s="26">
        <f t="shared" si="2"/>
        <v>-74.443668606387291</v>
      </c>
      <c r="E66" s="26">
        <f t="shared" si="3"/>
        <v>-308.67517404142427</v>
      </c>
      <c r="F66" s="2"/>
      <c r="G66" s="2"/>
      <c r="H66" s="2"/>
    </row>
    <row r="67" spans="1:8" ht="15.6" x14ac:dyDescent="0.3">
      <c r="A67" s="2"/>
      <c r="B67" s="34"/>
      <c r="C67" s="35">
        <v>0.22</v>
      </c>
      <c r="D67" s="26">
        <f t="shared" si="2"/>
        <v>-97.327529617016353</v>
      </c>
      <c r="E67" s="26">
        <f t="shared" si="3"/>
        <v>-352.67225010022867</v>
      </c>
      <c r="F67" s="2"/>
      <c r="G67" s="2"/>
      <c r="H67" s="2"/>
    </row>
    <row r="68" spans="1:8" ht="15.6" x14ac:dyDescent="0.3">
      <c r="A68" s="2"/>
      <c r="B68" s="34"/>
      <c r="C68" s="35">
        <v>0.23</v>
      </c>
      <c r="D68" s="26">
        <f t="shared" si="2"/>
        <v>-119.60043356134543</v>
      </c>
      <c r="E68" s="26">
        <f t="shared" si="3"/>
        <v>-395.46313626927622</v>
      </c>
      <c r="F68" s="2"/>
      <c r="G68" s="2"/>
      <c r="H68" s="2"/>
    </row>
    <row r="69" spans="1:8" ht="15.6" x14ac:dyDescent="0.3">
      <c r="A69" s="2"/>
      <c r="B69" s="34"/>
      <c r="C69" s="35">
        <v>0.24</v>
      </c>
      <c r="D69" s="26">
        <f t="shared" si="2"/>
        <v>-141.28428048739556</v>
      </c>
      <c r="E69" s="26">
        <f t="shared" si="3"/>
        <v>-437.09173911584048</v>
      </c>
      <c r="F69" s="2"/>
      <c r="G69" s="2"/>
      <c r="H69" s="2"/>
    </row>
    <row r="70" spans="1:8" ht="15.6" x14ac:dyDescent="0.3">
      <c r="A70" s="2"/>
      <c r="B70" s="34"/>
      <c r="C70" s="35">
        <v>0.25</v>
      </c>
      <c r="D70" s="26">
        <f t="shared" si="2"/>
        <v>-162.40000000000009</v>
      </c>
      <c r="E70" s="26">
        <f t="shared" si="3"/>
        <v>-477.59999999999991</v>
      </c>
      <c r="F70" s="2"/>
      <c r="G70" s="2"/>
      <c r="H70" s="2"/>
    </row>
    <row r="71" spans="1:8" x14ac:dyDescent="0.3">
      <c r="A71" s="2"/>
      <c r="B71" s="2"/>
      <c r="C71" s="2"/>
      <c r="D71" s="2"/>
      <c r="E71" s="2"/>
      <c r="F71" s="2"/>
      <c r="G71" s="2"/>
      <c r="H71" s="2"/>
    </row>
    <row r="72" spans="1:8" x14ac:dyDescent="0.3">
      <c r="A72" s="2"/>
      <c r="B72" s="2"/>
      <c r="C72" s="2"/>
      <c r="D72" s="2"/>
      <c r="E72" s="2"/>
      <c r="F72" s="2"/>
      <c r="G72" s="2"/>
      <c r="H72" s="2"/>
    </row>
    <row r="73" spans="1:8" x14ac:dyDescent="0.3">
      <c r="A73" s="2"/>
      <c r="B73" s="2"/>
      <c r="C73" s="2"/>
      <c r="D73" s="2"/>
      <c r="E73" s="2"/>
      <c r="F73" s="2"/>
      <c r="G73" s="2"/>
      <c r="H73" s="2"/>
    </row>
    <row r="74" spans="1:8" x14ac:dyDescent="0.3">
      <c r="A74" s="2"/>
      <c r="B74" s="2"/>
      <c r="C74" s="2"/>
      <c r="D74" s="2"/>
      <c r="E74" s="2"/>
      <c r="F74" s="2"/>
      <c r="G74" s="2"/>
      <c r="H74" s="2"/>
    </row>
    <row r="75" spans="1:8" x14ac:dyDescent="0.3">
      <c r="A75" s="2"/>
      <c r="B75" s="2"/>
      <c r="C75" s="2"/>
      <c r="D75" s="2"/>
      <c r="E75" s="2"/>
      <c r="F75" s="2"/>
      <c r="G75" s="2"/>
      <c r="H75" s="2"/>
    </row>
    <row r="76" spans="1:8" x14ac:dyDescent="0.3">
      <c r="A76" s="2"/>
      <c r="B76" s="2"/>
      <c r="C76" s="2"/>
      <c r="D76" s="2"/>
      <c r="E76" s="2"/>
      <c r="F76" s="2"/>
      <c r="G76" s="2"/>
      <c r="H76" s="2"/>
    </row>
    <row r="77" spans="1:8" x14ac:dyDescent="0.3">
      <c r="A77" s="2"/>
      <c r="B77" s="2"/>
      <c r="C77" s="2"/>
      <c r="D77" s="2"/>
      <c r="E77" s="2"/>
      <c r="F77" s="2"/>
      <c r="G77" s="2"/>
      <c r="H77" s="2"/>
    </row>
    <row r="78" spans="1:8" x14ac:dyDescent="0.3">
      <c r="A78" s="2"/>
      <c r="B78" s="2"/>
      <c r="C78" s="2"/>
      <c r="D78" s="2"/>
      <c r="E78" s="2"/>
      <c r="F78" s="2"/>
      <c r="G78" s="2"/>
      <c r="H78" s="2"/>
    </row>
    <row r="79" spans="1:8" x14ac:dyDescent="0.3">
      <c r="A79" s="2"/>
      <c r="B79" s="2"/>
      <c r="C79" s="2"/>
      <c r="D79" s="2"/>
      <c r="E79" s="2"/>
      <c r="F79" s="2"/>
      <c r="G79" s="2"/>
      <c r="H79" s="2"/>
    </row>
    <row r="80" spans="1:8" x14ac:dyDescent="0.3">
      <c r="A80" s="2"/>
      <c r="B80" s="2"/>
      <c r="C80" s="2"/>
      <c r="D80" s="2"/>
      <c r="E80" s="2"/>
      <c r="F80" s="2"/>
      <c r="G80" s="2"/>
      <c r="H80" s="2"/>
    </row>
    <row r="81" spans="1:8" x14ac:dyDescent="0.3">
      <c r="A81" s="2"/>
      <c r="B81" s="2"/>
      <c r="C81" s="2"/>
      <c r="D81" s="2"/>
      <c r="E81" s="2"/>
      <c r="F81" s="2"/>
      <c r="G81" s="2"/>
      <c r="H81" s="2"/>
    </row>
    <row r="82" spans="1:8" x14ac:dyDescent="0.3">
      <c r="A82" s="2"/>
      <c r="B82" s="2"/>
      <c r="C82" s="2"/>
      <c r="D82" s="2"/>
      <c r="E82" s="2"/>
      <c r="F82" s="2"/>
      <c r="G82" s="2"/>
      <c r="H8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EF9B-29DA-40D3-A9D9-F62F3D3948DC}">
  <dimension ref="B3:F10"/>
  <sheetViews>
    <sheetView workbookViewId="0">
      <selection activeCell="B2" sqref="B2:F10"/>
    </sheetView>
  </sheetViews>
  <sheetFormatPr defaultRowHeight="14.4" x14ac:dyDescent="0.3"/>
  <cols>
    <col min="3" max="3" width="11" bestFit="1" customWidth="1"/>
  </cols>
  <sheetData>
    <row r="3" spans="2:6" ht="15.6" x14ac:dyDescent="0.3">
      <c r="B3" s="4" t="s">
        <v>14</v>
      </c>
      <c r="C3" s="18" t="s">
        <v>2</v>
      </c>
      <c r="D3" s="1"/>
      <c r="E3" s="19" t="s">
        <v>15</v>
      </c>
      <c r="F3" s="20">
        <v>0.1</v>
      </c>
    </row>
    <row r="4" spans="2:6" ht="15.6" x14ac:dyDescent="0.3">
      <c r="B4" s="6">
        <v>0</v>
      </c>
      <c r="C4" s="21">
        <v>-3000</v>
      </c>
      <c r="D4" s="1"/>
    </row>
    <row r="5" spans="2:6" ht="15.6" x14ac:dyDescent="0.3">
      <c r="B5" s="6">
        <v>1</v>
      </c>
      <c r="C5" s="21">
        <v>3100</v>
      </c>
      <c r="D5" s="1"/>
    </row>
    <row r="6" spans="2:6" ht="15.6" x14ac:dyDescent="0.3">
      <c r="B6" s="6">
        <v>2</v>
      </c>
      <c r="C6" s="21">
        <v>3100</v>
      </c>
      <c r="D6" s="1"/>
    </row>
    <row r="7" spans="2:6" ht="15.6" x14ac:dyDescent="0.3">
      <c r="B7" s="6">
        <v>3</v>
      </c>
      <c r="C7" s="21">
        <v>3100</v>
      </c>
      <c r="D7" s="1"/>
    </row>
    <row r="9" spans="2:6" x14ac:dyDescent="0.3">
      <c r="B9" s="16" t="s">
        <v>5</v>
      </c>
      <c r="C9" s="22">
        <f>NPV(10%,C5:C7)</f>
        <v>7709.2411720510881</v>
      </c>
    </row>
    <row r="10" spans="2:6" x14ac:dyDescent="0.3">
      <c r="B10" s="17" t="s">
        <v>6</v>
      </c>
      <c r="C10" s="23">
        <f>C9+C4</f>
        <v>4709.2411720510881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D924-D632-4A74-8235-3AB9E020CDC8}">
  <dimension ref="A1:S43"/>
  <sheetViews>
    <sheetView tabSelected="1" topLeftCell="A14" workbookViewId="0">
      <selection sqref="A1:O39"/>
    </sheetView>
  </sheetViews>
  <sheetFormatPr defaultRowHeight="14.4" x14ac:dyDescent="0.3"/>
  <cols>
    <col min="1" max="1" width="14.44140625" customWidth="1"/>
    <col min="2" max="2" width="3.33203125" customWidth="1"/>
    <col min="4" max="4" width="9.33203125" bestFit="1" customWidth="1"/>
  </cols>
  <sheetData>
    <row r="1" spans="1:19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9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9" ht="18" x14ac:dyDescent="0.3">
      <c r="A3" s="14" t="s">
        <v>0</v>
      </c>
      <c r="B3" s="13"/>
      <c r="C3" s="12" t="s">
        <v>1</v>
      </c>
      <c r="D3" s="4" t="s">
        <v>2</v>
      </c>
      <c r="E3" s="2"/>
      <c r="F3" s="3" t="s">
        <v>4</v>
      </c>
      <c r="G3" s="5">
        <v>0.06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9" ht="15.6" x14ac:dyDescent="0.3">
      <c r="A4" s="2"/>
      <c r="B4" s="2"/>
      <c r="C4" s="6">
        <v>0</v>
      </c>
      <c r="D4" s="6">
        <v>-100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9" ht="15.6" x14ac:dyDescent="0.3">
      <c r="A5" s="2"/>
      <c r="B5" s="2"/>
      <c r="C5" s="6">
        <v>1</v>
      </c>
      <c r="D5" s="6">
        <v>230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9" ht="15.6" x14ac:dyDescent="0.3">
      <c r="A6" s="2"/>
      <c r="B6" s="2"/>
      <c r="C6" s="6">
        <v>2</v>
      </c>
      <c r="D6" s="6">
        <v>-132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9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9" x14ac:dyDescent="0.3">
      <c r="A8" s="2"/>
      <c r="B8" s="2"/>
      <c r="C8" s="3" t="s">
        <v>5</v>
      </c>
      <c r="D8" s="8">
        <f>NPV(6%,D5:D6)</f>
        <v>99.501601993592018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9" x14ac:dyDescent="0.3">
      <c r="A9" s="2"/>
      <c r="B9" s="2"/>
      <c r="C9" s="3" t="s">
        <v>6</v>
      </c>
      <c r="D9" s="8">
        <f>D8+D4</f>
        <v>-0.4983980064079816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9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9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9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9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9" ht="18" x14ac:dyDescent="0.3">
      <c r="A14" s="15" t="s">
        <v>7</v>
      </c>
      <c r="B14" s="13"/>
      <c r="C14" s="11" t="s">
        <v>8</v>
      </c>
      <c r="D14" s="3" t="s">
        <v>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3">
      <c r="A15" s="2"/>
      <c r="B15" s="2"/>
      <c r="C15" s="7">
        <v>0.01</v>
      </c>
      <c r="D15" s="8">
        <f>NPV(C15,$D$5:$D$6)+$D$4</f>
        <v>-1.6763062444858292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3">
      <c r="A16" s="2"/>
      <c r="B16" s="2"/>
      <c r="C16" s="7">
        <v>0.02</v>
      </c>
      <c r="D16" s="8">
        <f t="shared" ref="D16:D39" si="0">NPV(C16,$D$5:$D$6)+$D$4</f>
        <v>-1.3840830449827024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3">
      <c r="A17" s="2"/>
      <c r="B17" s="2"/>
      <c r="C17" s="7">
        <v>0.03</v>
      </c>
      <c r="D17" s="8">
        <f t="shared" si="0"/>
        <v>-1.1216891318691609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3">
      <c r="A18" s="2"/>
      <c r="B18" s="2"/>
      <c r="C18" s="7">
        <v>0.04</v>
      </c>
      <c r="D18" s="8">
        <f t="shared" si="0"/>
        <v>-0.88757396449703663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3">
      <c r="A19" s="2"/>
      <c r="B19" s="2"/>
      <c r="C19" s="7">
        <v>0.05</v>
      </c>
      <c r="D19" s="8">
        <f t="shared" si="0"/>
        <v>-0.68027210884353906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3">
      <c r="A20" s="2"/>
      <c r="B20" s="2"/>
      <c r="C20" s="7">
        <v>0.06</v>
      </c>
      <c r="D20" s="8">
        <f t="shared" si="0"/>
        <v>-0.4983980064079816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3">
      <c r="A21" s="2"/>
      <c r="B21" s="2"/>
      <c r="C21" s="7">
        <v>7.0000000000000007E-2</v>
      </c>
      <c r="D21" s="8">
        <f t="shared" si="0"/>
        <v>-0.34064110402655956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3">
      <c r="A22" s="2"/>
      <c r="B22" s="2"/>
      <c r="C22" s="7">
        <v>0.08</v>
      </c>
      <c r="D22" s="8">
        <f t="shared" si="0"/>
        <v>-0.20576131687242594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3">
      <c r="A23" s="2"/>
      <c r="B23" s="2"/>
      <c r="C23" s="7">
        <v>0.09</v>
      </c>
      <c r="D23" s="8">
        <f t="shared" si="0"/>
        <v>-9.258479925932761E-2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3">
      <c r="A24" s="2"/>
      <c r="B24" s="2"/>
      <c r="C24" s="9">
        <v>0.1</v>
      </c>
      <c r="D24" s="10">
        <f t="shared" si="0"/>
        <v>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3">
      <c r="A25" s="2"/>
      <c r="B25" s="2"/>
      <c r="C25" s="7">
        <v>0.11</v>
      </c>
      <c r="D25" s="8">
        <f t="shared" si="0"/>
        <v>7.3046018991973938E-2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3">
      <c r="A26" s="2"/>
      <c r="B26" s="2"/>
      <c r="C26" s="7">
        <v>0.12</v>
      </c>
      <c r="D26" s="8">
        <f t="shared" si="0"/>
        <v>0.12755102040816269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3">
      <c r="A27" s="2"/>
      <c r="B27" s="2"/>
      <c r="C27" s="7">
        <v>0.13</v>
      </c>
      <c r="D27" s="8">
        <f t="shared" si="0"/>
        <v>0.16446080350849002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3">
      <c r="A28" s="2"/>
      <c r="B28" s="2"/>
      <c r="C28" s="7">
        <v>0.14000000000000001</v>
      </c>
      <c r="D28" s="8">
        <f t="shared" si="0"/>
        <v>0.18467220683287167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3">
      <c r="A29" s="2"/>
      <c r="B29" s="2"/>
      <c r="C29" s="7">
        <v>0.15</v>
      </c>
      <c r="D29" s="8">
        <f t="shared" si="0"/>
        <v>0.18903591682419574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3">
      <c r="A30" s="2"/>
      <c r="B30" s="2"/>
      <c r="C30" s="7">
        <v>0.16</v>
      </c>
      <c r="D30" s="8">
        <f t="shared" si="0"/>
        <v>0.17835909631391189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3">
      <c r="A31" s="2"/>
      <c r="B31" s="2"/>
      <c r="C31" s="7">
        <v>0.17</v>
      </c>
      <c r="D31" s="8">
        <f t="shared" si="0"/>
        <v>0.15340784571553456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3">
      <c r="A32" s="2"/>
      <c r="B32" s="2"/>
      <c r="C32" s="7">
        <v>0.18</v>
      </c>
      <c r="D32" s="8">
        <f t="shared" si="0"/>
        <v>0.1149095087618548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3">
      <c r="A33" s="2"/>
      <c r="B33" s="2"/>
      <c r="C33" s="7">
        <v>0.19</v>
      </c>
      <c r="D33" s="8">
        <f t="shared" si="0"/>
        <v>6.355483369819126E-2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3">
      <c r="A34" s="2"/>
      <c r="B34" s="2"/>
      <c r="C34" s="9">
        <v>0.2</v>
      </c>
      <c r="D34" s="10">
        <f t="shared" si="0"/>
        <v>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3">
      <c r="A35" s="2"/>
      <c r="B35" s="2"/>
      <c r="C35" s="7">
        <v>0.21</v>
      </c>
      <c r="D35" s="8">
        <f t="shared" si="0"/>
        <v>-7.5131480090163905E-2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3">
      <c r="A36" s="2"/>
      <c r="B36" s="2"/>
      <c r="C36" s="7">
        <v>0.22</v>
      </c>
      <c r="D36" s="8">
        <f t="shared" si="0"/>
        <v>-0.1612469766191964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3">
      <c r="A37" s="2"/>
      <c r="B37" s="2"/>
      <c r="C37" s="7">
        <v>0.23</v>
      </c>
      <c r="D37" s="8">
        <f t="shared" si="0"/>
        <v>-0.25778306563553599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3">
      <c r="A38" s="2"/>
      <c r="B38" s="2"/>
      <c r="C38" s="7">
        <v>0.24</v>
      </c>
      <c r="D38" s="8">
        <f t="shared" si="0"/>
        <v>-0.36420395421436069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3">
      <c r="A39" s="2"/>
      <c r="B39" s="2"/>
      <c r="C39" s="7">
        <v>0.25</v>
      </c>
      <c r="D39" s="8">
        <f t="shared" si="0"/>
        <v>-0.47999999999998977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Άσκηση 1</vt:lpstr>
      <vt:lpstr>Άσκηση 2</vt:lpstr>
      <vt:lpstr>Άσκηση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Παναγιωτης Κωστ.</dc:creator>
  <cp:keywords/>
  <dc:description/>
  <cp:lastModifiedBy>Παναγιωτης Κωστ.</cp:lastModifiedBy>
  <cp:revision/>
  <dcterms:created xsi:type="dcterms:W3CDTF">2024-04-04T08:45:16Z</dcterms:created>
  <dcterms:modified xsi:type="dcterms:W3CDTF">2026-08-11T08:49:41Z</dcterms:modified>
  <cp:category/>
  <cp:contentStatus/>
</cp:coreProperties>
</file>