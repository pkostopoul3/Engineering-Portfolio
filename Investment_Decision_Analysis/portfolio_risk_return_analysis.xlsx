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7aec70558032046/Υπολογιστής/Investment_Decision_Analysis/"/>
    </mc:Choice>
  </mc:AlternateContent>
  <xr:revisionPtr revIDLastSave="0" documentId="8_{63FBF11D-399E-4E54-84F9-FDB5B6BA487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Ονοματεπώνυμο, Α.Μ." sheetId="2" r:id="rId1"/>
    <sheet name="Άσκηση 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6" i="1" l="1" a="1"/>
  <c r="E96" i="1"/>
  <c r="G22" i="1"/>
  <c r="G23" i="1"/>
  <c r="G24" i="1"/>
  <c r="G25" i="1"/>
  <c r="G26" i="1"/>
  <c r="G27" i="1"/>
  <c r="G28" i="1"/>
  <c r="G29" i="1"/>
  <c r="G30" i="1"/>
  <c r="G31" i="1"/>
  <c r="G32" i="1"/>
  <c r="G21" i="1"/>
  <c r="G89" i="1" s="1"/>
  <c r="F22" i="1"/>
  <c r="F23" i="1"/>
  <c r="F24" i="1"/>
  <c r="F25" i="1"/>
  <c r="F26" i="1"/>
  <c r="F27" i="1"/>
  <c r="F28" i="1"/>
  <c r="F29" i="1"/>
  <c r="F30" i="1"/>
  <c r="F31" i="1"/>
  <c r="F32" i="1"/>
  <c r="F21" i="1"/>
  <c r="F88" i="1" s="1"/>
  <c r="E22" i="1"/>
  <c r="E23" i="1"/>
  <c r="E24" i="1"/>
  <c r="E25" i="1"/>
  <c r="E26" i="1"/>
  <c r="E27" i="1"/>
  <c r="E28" i="1"/>
  <c r="E29" i="1"/>
  <c r="E30" i="1"/>
  <c r="E31" i="1"/>
  <c r="E32" i="1"/>
  <c r="E21" i="1"/>
  <c r="E87" i="1" s="1"/>
  <c r="D22" i="1"/>
  <c r="D23" i="1"/>
  <c r="D24" i="1"/>
  <c r="D25" i="1"/>
  <c r="D26" i="1"/>
  <c r="D27" i="1"/>
  <c r="D28" i="1"/>
  <c r="D29" i="1"/>
  <c r="D30" i="1"/>
  <c r="D31" i="1"/>
  <c r="D32" i="1"/>
  <c r="D21" i="1"/>
  <c r="D86" i="1" s="1"/>
  <c r="C22" i="1"/>
  <c r="C23" i="1"/>
  <c r="C24" i="1"/>
  <c r="C25" i="1"/>
  <c r="C26" i="1"/>
  <c r="C27" i="1"/>
  <c r="C28" i="1"/>
  <c r="C29" i="1"/>
  <c r="C30" i="1"/>
  <c r="C31" i="1"/>
  <c r="C32" i="1"/>
  <c r="C21" i="1"/>
  <c r="C85" i="1" s="1"/>
  <c r="B22" i="1"/>
  <c r="B23" i="1"/>
  <c r="B24" i="1"/>
  <c r="B25" i="1"/>
  <c r="B26" i="1"/>
  <c r="B27" i="1"/>
  <c r="B28" i="1"/>
  <c r="B29" i="1"/>
  <c r="B30" i="1"/>
  <c r="B31" i="1"/>
  <c r="B32" i="1"/>
  <c r="B21" i="1"/>
  <c r="B84" i="1" s="1"/>
  <c r="B41" i="1" l="1"/>
  <c r="B70" i="1" s="1"/>
  <c r="B49" i="1"/>
  <c r="C41" i="1"/>
  <c r="B71" i="1" s="1"/>
  <c r="C49" i="1"/>
  <c r="D41" i="1"/>
  <c r="B72" i="1" s="1"/>
  <c r="D49" i="1"/>
  <c r="E41" i="1"/>
  <c r="B73" i="1" s="1"/>
  <c r="E49" i="1"/>
  <c r="F41" i="1"/>
  <c r="B74" i="1" s="1"/>
  <c r="F49" i="1"/>
  <c r="G49" i="1"/>
  <c r="G41" i="1"/>
  <c r="B75" i="1" s="1"/>
  <c r="D75" i="1" l="1"/>
  <c r="C101" i="1"/>
  <c r="D101" i="1" s="1"/>
  <c r="D74" i="1"/>
  <c r="C100" i="1"/>
  <c r="D100" i="1" s="1"/>
  <c r="D73" i="1"/>
  <c r="C99" i="1"/>
  <c r="D99" i="1" s="1"/>
  <c r="D72" i="1"/>
  <c r="C98" i="1"/>
  <c r="D98" i="1" s="1"/>
  <c r="D71" i="1"/>
  <c r="C97" i="1"/>
  <c r="D97" i="1" s="1"/>
  <c r="D70" i="1"/>
  <c r="C96" i="1"/>
  <c r="D96" i="1" s="1"/>
  <c r="C77" i="1"/>
  <c r="G88" i="1"/>
  <c r="F89" i="1"/>
  <c r="G87" i="1"/>
  <c r="E89" i="1"/>
  <c r="F87" i="1"/>
  <c r="E88" i="1"/>
  <c r="G86" i="1"/>
  <c r="D89" i="1"/>
  <c r="F86" i="1"/>
  <c r="D88" i="1"/>
  <c r="E86" i="1"/>
  <c r="D87" i="1"/>
  <c r="G85" i="1"/>
  <c r="C89" i="1"/>
  <c r="F85" i="1"/>
  <c r="C88" i="1"/>
  <c r="E85" i="1"/>
  <c r="C87" i="1"/>
  <c r="D85" i="1"/>
  <c r="C86" i="1"/>
  <c r="G84" i="1"/>
  <c r="B89" i="1"/>
  <c r="F84" i="1"/>
  <c r="B88" i="1"/>
  <c r="E84" i="1"/>
  <c r="B87" i="1"/>
  <c r="D84" i="1"/>
  <c r="B86" i="1"/>
  <c r="C84" i="1"/>
  <c r="B85" i="1"/>
  <c r="K84" i="1" l="1" a="1"/>
  <c r="K8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<sst xmlns="http://schemas.openxmlformats.org/spreadsheetml/2006/main" count="91" uniqueCount="47">
  <si>
    <t>Ονοματεπώνυμο</t>
  </si>
  <si>
    <t>Α.Μ.</t>
  </si>
  <si>
    <t>Παναγίωτης Κωστόπουλος</t>
  </si>
  <si>
    <t xml:space="preserve">ΔΕΔΟΜΕΝΑ </t>
  </si>
  <si>
    <t>Πορτογαλία</t>
  </si>
  <si>
    <t>Ιρλανδία</t>
  </si>
  <si>
    <t>Ιταλία</t>
  </si>
  <si>
    <t>Ισπανία</t>
  </si>
  <si>
    <t>Γαλλία</t>
  </si>
  <si>
    <t>Γερμανία</t>
  </si>
  <si>
    <t>12/30/2020</t>
  </si>
  <si>
    <t>1/31/2021</t>
  </si>
  <si>
    <t>2/28/2021</t>
  </si>
  <si>
    <t>3/31/2021</t>
  </si>
  <si>
    <t>4/30/2021</t>
  </si>
  <si>
    <t>5/31/2021</t>
  </si>
  <si>
    <t>6/30/2021</t>
  </si>
  <si>
    <t>7/31/2021</t>
  </si>
  <si>
    <t>8/31/2021</t>
  </si>
  <si>
    <t>9/30/2021</t>
  </si>
  <si>
    <t>10/31/2021</t>
  </si>
  <si>
    <t>11/30/2021</t>
  </si>
  <si>
    <t>12/30/2021</t>
  </si>
  <si>
    <t>Ερώτημα Α</t>
  </si>
  <si>
    <t>Περίοδος</t>
  </si>
  <si>
    <r>
      <rPr>
        <sz val="12"/>
        <color rgb="FF000000"/>
        <rFont val="Aptos Narrow"/>
        <family val="2"/>
        <scheme val="minor"/>
      </rPr>
      <t xml:space="preserve">Για το ερώτημα Α θα χρησιμοποιήσουμε τον </t>
    </r>
    <r>
      <rPr>
        <b/>
        <sz val="12"/>
        <color rgb="FF000000"/>
        <rFont val="Aptos Narrow"/>
        <family val="2"/>
        <scheme val="minor"/>
      </rPr>
      <t>Τύπο της Απόδοσης</t>
    </r>
    <r>
      <rPr>
        <sz val="12"/>
        <color rgb="FF000000"/>
        <rFont val="Aptos Narrow"/>
        <family val="2"/>
        <scheme val="minor"/>
      </rPr>
      <t xml:space="preserve">. Επομένως έχουμε τον πίνακα, όπου παρατηρείται από την γραφική παράσταση ότι η καλύτερη επιλογή είναι η </t>
    </r>
    <r>
      <rPr>
        <b/>
        <u/>
        <sz val="12"/>
        <color rgb="FF000000"/>
        <rFont val="Aptos Narrow"/>
        <family val="2"/>
        <scheme val="minor"/>
      </rPr>
      <t>Ιταλία</t>
    </r>
    <r>
      <rPr>
        <sz val="12"/>
        <color rgb="FF000000"/>
        <rFont val="Aptos Narrow"/>
        <family val="2"/>
        <scheme val="minor"/>
      </rPr>
      <t xml:space="preserve"> γιατί έχει </t>
    </r>
    <r>
      <rPr>
        <b/>
        <sz val="12"/>
        <color rgb="FF000000"/>
        <rFont val="Aptos Narrow"/>
        <family val="2"/>
        <scheme val="minor"/>
      </rPr>
      <t>κατά μέσο όρο μικρότερα ελάχιστα και μεγαλύτερα μέγιστα.</t>
    </r>
  </si>
  <si>
    <t>Ερώτημα Β</t>
  </si>
  <si>
    <t>Μέση Απόδοση</t>
  </si>
  <si>
    <r>
      <rPr>
        <sz val="12"/>
        <color rgb="FF000000"/>
        <rFont val="Aptos Narrow"/>
        <family val="2"/>
        <scheme val="minor"/>
      </rPr>
      <t xml:space="preserve">Η κατάταξη της επένδυσης κατά </t>
    </r>
    <r>
      <rPr>
        <b/>
        <sz val="12"/>
        <color rgb="FF000000"/>
        <rFont val="Aptos Narrow"/>
        <family val="2"/>
        <scheme val="minor"/>
      </rPr>
      <t>φθίνουσα σειρά</t>
    </r>
    <r>
      <rPr>
        <sz val="12"/>
        <color rgb="FF000000"/>
        <rFont val="Aptos Narrow"/>
        <family val="2"/>
        <scheme val="minor"/>
      </rPr>
      <t xml:space="preserve"> είναι: </t>
    </r>
    <r>
      <rPr>
        <b/>
        <sz val="12"/>
        <color rgb="FF000000"/>
        <rFont val="Aptos Narrow"/>
        <family val="2"/>
        <scheme val="minor"/>
      </rPr>
      <t>Γερμανία &gt; Γαλλία &gt;Πορτογαλία &gt; Ιρλανδία &gt; Ισπανία &gt; Ιταλία</t>
    </r>
  </si>
  <si>
    <t>Ερώτημα Γ</t>
  </si>
  <si>
    <t>Τυπική Απόκλιση</t>
  </si>
  <si>
    <t>Ερώτημα Δ</t>
  </si>
  <si>
    <t>Ερώτημα Ε</t>
  </si>
  <si>
    <t>Χώρες</t>
  </si>
  <si>
    <t>Μέση Μηνιαία Απόδοση</t>
  </si>
  <si>
    <t xml:space="preserve">Στάθμιση </t>
  </si>
  <si>
    <t xml:space="preserve">Σταθμισμένη Απόδοση </t>
  </si>
  <si>
    <t>Απόδοση Χαρτοφυλακίου</t>
  </si>
  <si>
    <t>Ερώτημα ΣΤ</t>
  </si>
  <si>
    <t xml:space="preserve">Πίνακας Διακύμανσης -Συνδιακήμανσης </t>
  </si>
  <si>
    <t>Βάρη</t>
  </si>
  <si>
    <t>Τυπική Απόκληση Χαρτοφυλακίου</t>
  </si>
  <si>
    <t>Ερώτημα Ζ</t>
  </si>
  <si>
    <t>Αριθμητική μέση απόδοση χαρτοφιλακίου ίσης στάθμισης :</t>
  </si>
  <si>
    <t xml:space="preserve">Στάθμηση </t>
  </si>
  <si>
    <t xml:space="preserve">Μέση Απόδοση </t>
  </si>
  <si>
    <t xml:space="preserve">Υπολογισμός τυπικής Απόκλισης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</si>
</sst>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%"/>
  </numFmts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u/>
      <sz val="12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5" borderId="1" xfId="0" applyFont="1" applyFill="1" applyBorder="1" applyAlignment="1">
      <alignment horizontal="center" vertical="center"/>
    </xf>
    <xf numFmtId="3" fontId="1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165" fontId="3" fillId="5" borderId="2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Ερώτημα 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'Άσκηση 1'!$B$20</c:f>
              <c:strCache>
                <c:ptCount val="1"/>
                <c:pt idx="0">
                  <c:v>Πορτογαλία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'Άσκηση 1'!$B$21:$B$32</c:f>
              <c:numCache>
                <c:formatCode>General</c:formatCode>
                <c:ptCount val="12"/>
                <c:pt idx="0">
                  <c:v>1.4080611500842322E-2</c:v>
                </c:pt>
                <c:pt idx="1">
                  <c:v>1.407106196226228E-2</c:v>
                </c:pt>
                <c:pt idx="2">
                  <c:v>-7.3566267711529756E-2</c:v>
                </c:pt>
                <c:pt idx="3">
                  <c:v>3.7068072499818555E-2</c:v>
                </c:pt>
                <c:pt idx="4">
                  <c:v>-7.3185007984628792E-2</c:v>
                </c:pt>
                <c:pt idx="5">
                  <c:v>4.1023106388236745E-2</c:v>
                </c:pt>
                <c:pt idx="6">
                  <c:v>-1.7909660402242004E-2</c:v>
                </c:pt>
                <c:pt idx="7">
                  <c:v>-6.0630883478587833E-2</c:v>
                </c:pt>
                <c:pt idx="8">
                  <c:v>2.6661139066788655E-2</c:v>
                </c:pt>
                <c:pt idx="9">
                  <c:v>-7.2594232563320663E-2</c:v>
                </c:pt>
                <c:pt idx="10">
                  <c:v>2.0089034360056154E-2</c:v>
                </c:pt>
                <c:pt idx="11">
                  <c:v>-1.3850150497118845E-2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6A-43CB-8D26-6615DC26E575}"/>
            </c:ext>
          </c:extLst>
        </c:ser>
        <c:ser>
          <c:idx val="1"/>
          <c:order val="1"/>
          <c:tx>
            <c:strRef>
              <c:f>'Άσκηση 1'!$C$20</c:f>
              <c:strCache>
                <c:ptCount val="1"/>
                <c:pt idx="0">
                  <c:v>Ιρλανδία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'Άσκηση 1'!$C$21:$C$32</c:f>
              <c:numCache>
                <c:formatCode>General</c:formatCode>
                <c:ptCount val="12"/>
                <c:pt idx="0">
                  <c:v>1.8816135830152313E-2</c:v>
                </c:pt>
                <c:pt idx="1">
                  <c:v>9.9078408856697001E-3</c:v>
                </c:pt>
                <c:pt idx="2">
                  <c:v>-5.158238458286564E-2</c:v>
                </c:pt>
                <c:pt idx="3">
                  <c:v>2.4584809523443565E-2</c:v>
                </c:pt>
                <c:pt idx="4">
                  <c:v>-5.5573057305730575E-2</c:v>
                </c:pt>
                <c:pt idx="5">
                  <c:v>4.1537276330106183E-2</c:v>
                </c:pt>
                <c:pt idx="6">
                  <c:v>-4.8344911202446224E-2</c:v>
                </c:pt>
                <c:pt idx="7">
                  <c:v>-6.4630892380670033E-2</c:v>
                </c:pt>
                <c:pt idx="8">
                  <c:v>-1.809226024756928E-2</c:v>
                </c:pt>
                <c:pt idx="9">
                  <c:v>-0.14842570862741333</c:v>
                </c:pt>
                <c:pt idx="10">
                  <c:v>2.2876754430898472E-2</c:v>
                </c:pt>
                <c:pt idx="11">
                  <c:v>-7.9124225033302287E-3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6A-43CB-8D26-6615DC26E575}"/>
            </c:ext>
          </c:extLst>
        </c:ser>
        <c:ser>
          <c:idx val="2"/>
          <c:order val="2"/>
          <c:tx>
            <c:strRef>
              <c:f>'Άσκηση 1'!$D$20</c:f>
              <c:strCache>
                <c:ptCount val="1"/>
                <c:pt idx="0">
                  <c:v>Ιταλία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'Άσκηση 1'!$D$21:$D$32</c:f>
              <c:numCache>
                <c:formatCode>General</c:formatCode>
                <c:ptCount val="12"/>
                <c:pt idx="0">
                  <c:v>1.0536330382577602E-2</c:v>
                </c:pt>
                <c:pt idx="1">
                  <c:v>8.8681838349078546E-3</c:v>
                </c:pt>
                <c:pt idx="2">
                  <c:v>-8.5167089462986102E-3</c:v>
                </c:pt>
                <c:pt idx="3">
                  <c:v>-1.2435832941163743E-2</c:v>
                </c:pt>
                <c:pt idx="4">
                  <c:v>4.1354001205017258E-3</c:v>
                </c:pt>
                <c:pt idx="5">
                  <c:v>1.4597027137597163E-2</c:v>
                </c:pt>
                <c:pt idx="6">
                  <c:v>1.5424648254579277E-2</c:v>
                </c:pt>
                <c:pt idx="7">
                  <c:v>-7.4813363689310106E-3</c:v>
                </c:pt>
                <c:pt idx="8">
                  <c:v>-3.3074251695055399E-3</c:v>
                </c:pt>
                <c:pt idx="9">
                  <c:v>-5.3950769922445768E-2</c:v>
                </c:pt>
                <c:pt idx="10">
                  <c:v>-8.1580927488020278E-3</c:v>
                </c:pt>
                <c:pt idx="11">
                  <c:v>6.0006274420329126E-3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86A-43CB-8D26-6615DC26E575}"/>
            </c:ext>
          </c:extLst>
        </c:ser>
        <c:ser>
          <c:idx val="3"/>
          <c:order val="3"/>
          <c:tx>
            <c:strRef>
              <c:f>'Άσκηση 1'!$E$20</c:f>
              <c:strCache>
                <c:ptCount val="1"/>
                <c:pt idx="0">
                  <c:v>Ισπανία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'Άσκηση 1'!$E$21:$E$32</c:f>
              <c:numCache>
                <c:formatCode>General</c:formatCode>
                <c:ptCount val="12"/>
                <c:pt idx="0">
                  <c:v>1.6524980972406764E-2</c:v>
                </c:pt>
                <c:pt idx="1">
                  <c:v>5.042301184433164E-3</c:v>
                </c:pt>
                <c:pt idx="2">
                  <c:v>-1.8174012593016601E-2</c:v>
                </c:pt>
                <c:pt idx="3">
                  <c:v>-1.7605905501684713E-2</c:v>
                </c:pt>
                <c:pt idx="4">
                  <c:v>-2.4711236783655586E-2</c:v>
                </c:pt>
                <c:pt idx="5">
                  <c:v>3.6209642780442405E-2</c:v>
                </c:pt>
                <c:pt idx="6">
                  <c:v>1.2327448110295038E-2</c:v>
                </c:pt>
                <c:pt idx="7">
                  <c:v>-7.3703785849555557E-3</c:v>
                </c:pt>
                <c:pt idx="8">
                  <c:v>-6.243447173475877E-3</c:v>
                </c:pt>
                <c:pt idx="9">
                  <c:v>-9.6536098343501783E-2</c:v>
                </c:pt>
                <c:pt idx="10">
                  <c:v>6.312666012587044E-3</c:v>
                </c:pt>
                <c:pt idx="11">
                  <c:v>1.4691055054598029E-2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86A-43CB-8D26-6615DC26E575}"/>
            </c:ext>
          </c:extLst>
        </c:ser>
        <c:ser>
          <c:idx val="4"/>
          <c:order val="4"/>
          <c:tx>
            <c:strRef>
              <c:f>'Άσκηση 1'!$F$20</c:f>
              <c:strCache>
                <c:ptCount val="1"/>
                <c:pt idx="0">
                  <c:v>Γαλλία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'Άσκηση 1'!$F$21:$F$32</c:f>
              <c:numCache>
                <c:formatCode>General</c:formatCode>
                <c:ptCount val="12"/>
                <c:pt idx="0">
                  <c:v>1.0416807495234361E-2</c:v>
                </c:pt>
                <c:pt idx="1">
                  <c:v>-2.6760327814015721E-5</c:v>
                </c:pt>
                <c:pt idx="2">
                  <c:v>1.0864983843019716E-2</c:v>
                </c:pt>
                <c:pt idx="3">
                  <c:v>3.1390846818226945E-2</c:v>
                </c:pt>
                <c:pt idx="4">
                  <c:v>-1.1531205482616564E-2</c:v>
                </c:pt>
                <c:pt idx="5">
                  <c:v>8.7184580728507342E-3</c:v>
                </c:pt>
                <c:pt idx="6">
                  <c:v>3.8260052515059463E-2</c:v>
                </c:pt>
                <c:pt idx="7">
                  <c:v>-1.454791141084368E-2</c:v>
                </c:pt>
                <c:pt idx="8">
                  <c:v>-1.5133788730799713E-2</c:v>
                </c:pt>
                <c:pt idx="9">
                  <c:v>-2.2346975270795013E-2</c:v>
                </c:pt>
                <c:pt idx="10">
                  <c:v>-1.6775870966899011E-2</c:v>
                </c:pt>
                <c:pt idx="11">
                  <c:v>-1.3779906849424288E-2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86A-43CB-8D26-6615DC26E575}"/>
            </c:ext>
          </c:extLst>
        </c:ser>
        <c:ser>
          <c:idx val="5"/>
          <c:order val="5"/>
          <c:tx>
            <c:strRef>
              <c:f>'Άσκηση 1'!$G$20</c:f>
              <c:strCache>
                <c:ptCount val="1"/>
                <c:pt idx="0">
                  <c:v>Γερμανία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'Άσκηση 1'!$G$21:$G$32</c:f>
              <c:numCache>
                <c:formatCode>General</c:formatCode>
                <c:ptCount val="12"/>
                <c:pt idx="0">
                  <c:v>7.6115171119364245E-3</c:v>
                </c:pt>
                <c:pt idx="1">
                  <c:v>8.7984907814010998E-4</c:v>
                </c:pt>
                <c:pt idx="2">
                  <c:v>9.7648670695103315E-3</c:v>
                </c:pt>
                <c:pt idx="3">
                  <c:v>2.9811297077692898E-2</c:v>
                </c:pt>
                <c:pt idx="4">
                  <c:v>6.504040273261083E-3</c:v>
                </c:pt>
                <c:pt idx="5">
                  <c:v>-8.7320384088621864E-3</c:v>
                </c:pt>
                <c:pt idx="6">
                  <c:v>5.0914864545086751E-2</c:v>
                </c:pt>
                <c:pt idx="7">
                  <c:v>-1.3176149281267932E-2</c:v>
                </c:pt>
                <c:pt idx="8">
                  <c:v>-2.1882981620650822E-2</c:v>
                </c:pt>
                <c:pt idx="9">
                  <c:v>-5.9675210330659362E-3</c:v>
                </c:pt>
                <c:pt idx="10">
                  <c:v>-2.3067081525894637E-2</c:v>
                </c:pt>
                <c:pt idx="11">
                  <c:v>-1.7272910435038667E-2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86A-43CB-8D26-6615DC26E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1971464"/>
        <c:axId val="1861977608"/>
      </c:lineChart>
      <c:catAx>
        <c:axId val="1861971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977608"/>
        <c:crosses val="autoZero"/>
        <c:auto val="1"/>
        <c:lblAlgn val="ctr"/>
        <c:lblOffset val="100"/>
        <c:noMultiLvlLbl val="0"/>
      </c:catAx>
      <c:valAx>
        <c:axId val="186197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1971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'Άσκηση 1'!$A$41</c:f>
              <c:strCache>
                <c:ptCount val="1"/>
                <c:pt idx="0">
                  <c:v>Μέση Απόδοση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'Άσκηση 1'!$B$40:$G$40</c:f>
              <c:strCache>
                <c:ptCount val="6"/>
                <c:pt idx="0">
                  <c:v>Πορτογαλία</c:v>
                </c:pt>
                <c:pt idx="1">
                  <c:v>Ιρλανδία</c:v>
                </c:pt>
                <c:pt idx="2">
                  <c:v>Ιταλία</c:v>
                </c:pt>
                <c:pt idx="3">
                  <c:v>Ισπανία</c:v>
                </c:pt>
                <c:pt idx="4">
                  <c:v>Γαλλία</c:v>
                </c:pt>
                <c:pt idx="5">
                  <c:v>Γερμανία</c:v>
                </c:pt>
              </c:strCache>
            </c:strRef>
          </c:cat>
          <c:val>
            <c:numRef>
              <c:f>'Άσκηση 1'!$B$41:$G$41</c:f>
              <c:numCache>
                <c:formatCode>General</c:formatCode>
                <c:ptCount val="6"/>
                <c:pt idx="0">
                  <c:v>-1.3228598071618599E-2</c:v>
                </c:pt>
                <c:pt idx="1">
                  <c:v>-2.3069901654146255E-2</c:v>
                </c:pt>
                <c:pt idx="2">
                  <c:v>-2.8573290770791803E-3</c:v>
                </c:pt>
                <c:pt idx="3">
                  <c:v>-6.6277487387939732E-3</c:v>
                </c:pt>
                <c:pt idx="4">
                  <c:v>4.5906080876657944E-4</c:v>
                </c:pt>
                <c:pt idx="5">
                  <c:v>1.2823127375706188E-3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DB-4C07-995D-6A346FFD2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2545160"/>
        <c:axId val="842547208"/>
      </c:lineChart>
      <c:catAx>
        <c:axId val="842545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547208"/>
        <c:crosses val="autoZero"/>
        <c:auto val="1"/>
        <c:lblAlgn val="ctr"/>
        <c:lblOffset val="100"/>
        <c:noMultiLvlLbl val="0"/>
      </c:catAx>
      <c:valAx>
        <c:axId val="842547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545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'Άσκηση 1'!$A$49</c:f>
              <c:strCache>
                <c:ptCount val="1"/>
                <c:pt idx="0">
                  <c:v>Τυπική Απόκλιση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'Άσκηση 1'!$B$48:$G$48</c:f>
              <c:strCache>
                <c:ptCount val="6"/>
                <c:pt idx="0">
                  <c:v>Πορτογαλία</c:v>
                </c:pt>
                <c:pt idx="1">
                  <c:v>Ιρλανδία</c:v>
                </c:pt>
                <c:pt idx="2">
                  <c:v>Ιταλία</c:v>
                </c:pt>
                <c:pt idx="3">
                  <c:v>Ισπανία</c:v>
                </c:pt>
                <c:pt idx="4">
                  <c:v>Γαλλία</c:v>
                </c:pt>
                <c:pt idx="5">
                  <c:v>Γερμανία</c:v>
                </c:pt>
              </c:strCache>
            </c:strRef>
          </c:cat>
          <c:val>
            <c:numRef>
              <c:f>'Άσκηση 1'!$B$49:$G$49</c:f>
              <c:numCache>
                <c:formatCode>General</c:formatCode>
                <c:ptCount val="6"/>
                <c:pt idx="0">
                  <c:v>4.5421542738532376E-2</c:v>
                </c:pt>
                <c:pt idx="1">
                  <c:v>5.359977025652219E-2</c:v>
                </c:pt>
                <c:pt idx="2">
                  <c:v>1.8749843169642417E-2</c:v>
                </c:pt>
                <c:pt idx="3">
                  <c:v>3.323960599996767E-2</c:v>
                </c:pt>
                <c:pt idx="4">
                  <c:v>1.9756708851266295E-2</c:v>
                </c:pt>
                <c:pt idx="5">
                  <c:v>2.1851666737111929E-2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6C-4666-B64C-84CE76C39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9867143"/>
        <c:axId val="1179877383"/>
      </c:lineChart>
      <c:catAx>
        <c:axId val="1179867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877383"/>
        <c:crosses val="autoZero"/>
        <c:auto val="1"/>
        <c:lblAlgn val="ctr"/>
        <c:lblOffset val="100"/>
        <c:noMultiLvlLbl val="0"/>
      </c:catAx>
      <c:valAx>
        <c:axId val="1179877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867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657225</xdr:colOff>
      <xdr:row>18</xdr:row>
      <xdr:rowOff>66675</xdr:rowOff>
    </xdr:from>
    <xdr:to>
      <xdr:col>15</xdr:col>
      <xdr:colOff>57150</xdr:colOff>
      <xdr:row>32</xdr:row>
      <xdr:rowOff>85725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9B36D12E-4468-5BFC-2C61-85B55D64D6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53</xdr:row>
      <xdr:rowOff>85725</xdr:rowOff>
    </xdr:from>
    <xdr:to>
      <xdr:col>3</xdr:col>
      <xdr:colOff>238125</xdr:colOff>
      <xdr:row>63</xdr:row>
      <xdr:rowOff>152400</xdr:rowOff>
    </xdr:to>
    <xdr:graphicFrame macro="">
      <xdr:nvGraphicFramePr>
        <xdr:cNvPr id="6" name="Γράφημα 5">
          <a:extLst>
            <a:ext uri="{FF2B5EF4-FFF2-40B4-BE49-F238E27FC236}">
              <a16:creationId xmlns:a16="http://schemas.microsoft.com/office/drawing/2014/main" id="{A55E433E-15EC-D6E8-C58E-DC1DEF8EF33F}"/>
            </a:ext>
            <a:ext uri="{147F2762-F138-4A5C-976F-8EAC2B608ADB}">
              <a16:predDERef xmlns:a16="http://schemas.microsoft.com/office/drawing/2014/main" pred="{9B36D12E-4468-5BFC-2C61-85B55D64D6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714375</xdr:colOff>
      <xdr:row>53</xdr:row>
      <xdr:rowOff>76200</xdr:rowOff>
    </xdr:from>
    <xdr:to>
      <xdr:col>6</xdr:col>
      <xdr:colOff>857250</xdr:colOff>
      <xdr:row>63</xdr:row>
      <xdr:rowOff>152400</xdr:rowOff>
    </xdr:to>
    <xdr:graphicFrame macro="">
      <xdr:nvGraphicFramePr>
        <xdr:cNvPr id="7" name="Γράφημα 6">
          <a:extLst>
            <a:ext uri="{FF2B5EF4-FFF2-40B4-BE49-F238E27FC236}">
              <a16:creationId xmlns:a16="http://schemas.microsoft.com/office/drawing/2014/main" id="{12E8103C-40D1-BCC2-23DC-E8D40C0A5D64}"/>
            </a:ext>
            <a:ext uri="{147F2762-F138-4A5C-976F-8EAC2B608ADB}">
              <a16:predDERef xmlns:a16="http://schemas.microsoft.com/office/drawing/2014/main" pred="{A55E433E-15EC-D6E8-C58E-DC1DEF8EF3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D61C1-5F77-4447-84B0-7B876468AE72}">
  <dimension ref="B2:G3"/>
  <sheetViews>
    <sheetView workbookViewId="0">
      <selection activeCell="J2" sqref="J2"/>
    </sheetView>
  </sheetViews>
  <sheetFormatPr defaultRowHeight="14.4" x14ac:dyDescent="0.3"/>
  <sheetData>
    <row r="2" spans="2:7" ht="18" x14ac:dyDescent="0.35">
      <c r="B2" s="24" t="s">
        <v>0</v>
      </c>
      <c r="C2" s="24"/>
      <c r="D2" s="24"/>
      <c r="E2" s="25"/>
      <c r="F2" s="24" t="s">
        <v>1</v>
      </c>
      <c r="G2" s="24"/>
    </row>
    <row r="3" spans="2:7" ht="18" x14ac:dyDescent="0.35">
      <c r="B3" s="26" t="s">
        <v>2</v>
      </c>
      <c r="C3" s="26"/>
      <c r="D3" s="26"/>
      <c r="E3" s="26"/>
      <c r="F3" s="27">
        <v>2020010013</v>
      </c>
      <c r="G3" s="27"/>
    </row>
  </sheetData>
  <mergeCells count="4">
    <mergeCell ref="B2:E2"/>
    <mergeCell ref="B3:E3"/>
    <mergeCell ref="F2:G2"/>
    <mergeCell ref="F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1"/>
  <sheetViews>
    <sheetView tabSelected="1" workbookViewId="0">
      <selection activeCell="G96" sqref="G96"/>
    </sheetView>
  </sheetViews>
  <sheetFormatPr defaultRowHeight="15.6" x14ac:dyDescent="0.3"/>
  <cols>
    <col min="1" max="1" width="15.6640625" style="2" customWidth="1"/>
    <col min="2" max="2" width="23.5546875" style="2" customWidth="1"/>
    <col min="3" max="3" width="19.109375" style="2" customWidth="1"/>
    <col min="4" max="4" width="21.5546875" style="2" customWidth="1"/>
    <col min="5" max="5" width="37.5546875" style="2" customWidth="1"/>
    <col min="6" max="6" width="16.6640625" style="2" customWidth="1"/>
    <col min="7" max="7" width="18.109375" style="2" customWidth="1"/>
    <col min="8" max="8" width="6.109375" style="2" customWidth="1"/>
    <col min="9" max="9" width="13.109375" style="2" customWidth="1"/>
    <col min="10" max="10" width="5.109375" style="2" customWidth="1"/>
    <col min="11" max="11" width="34" style="2" customWidth="1"/>
    <col min="12" max="24" width="13.109375" style="2" customWidth="1"/>
    <col min="25" max="35" width="9.109375" style="3"/>
  </cols>
  <sheetData>
    <row r="1" spans="1:8" ht="18" x14ac:dyDescent="0.3">
      <c r="A1" s="34" t="s">
        <v>3</v>
      </c>
      <c r="B1" s="34"/>
      <c r="C1" s="34"/>
      <c r="D1" s="34"/>
      <c r="E1" s="34"/>
      <c r="F1" s="34"/>
      <c r="G1" s="34"/>
      <c r="H1" s="13"/>
    </row>
    <row r="2" spans="1:8" x14ac:dyDescent="0.3">
      <c r="A2" s="1"/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4"/>
    </row>
    <row r="3" spans="1:8" x14ac:dyDescent="0.3">
      <c r="A3" s="4" t="s">
        <v>10</v>
      </c>
      <c r="B3" s="5">
        <v>159084</v>
      </c>
      <c r="C3" s="4">
        <v>133343</v>
      </c>
      <c r="D3" s="4">
        <v>182891</v>
      </c>
      <c r="E3" s="4">
        <v>232557</v>
      </c>
      <c r="F3" s="4">
        <v>147934</v>
      </c>
      <c r="G3" s="4">
        <v>125205</v>
      </c>
      <c r="H3" s="15"/>
    </row>
    <row r="4" spans="1:8" x14ac:dyDescent="0.3">
      <c r="A4" s="4" t="s">
        <v>11</v>
      </c>
      <c r="B4" s="5">
        <v>161324</v>
      </c>
      <c r="C4" s="4">
        <v>135852</v>
      </c>
      <c r="D4" s="4">
        <v>184818</v>
      </c>
      <c r="E4" s="4">
        <v>236400</v>
      </c>
      <c r="F4" s="4">
        <v>149475</v>
      </c>
      <c r="G4" s="4">
        <v>126158</v>
      </c>
      <c r="H4" s="15"/>
    </row>
    <row r="5" spans="1:8" x14ac:dyDescent="0.3">
      <c r="A5" s="4" t="s">
        <v>12</v>
      </c>
      <c r="B5" s="5">
        <v>163594</v>
      </c>
      <c r="C5" s="4">
        <v>137198</v>
      </c>
      <c r="D5" s="4">
        <v>186457</v>
      </c>
      <c r="E5" s="4">
        <v>237592</v>
      </c>
      <c r="F5" s="4">
        <v>149471</v>
      </c>
      <c r="G5" s="4">
        <v>126269</v>
      </c>
      <c r="H5" s="15"/>
    </row>
    <row r="6" spans="1:8" x14ac:dyDescent="0.3">
      <c r="A6" s="4" t="s">
        <v>13</v>
      </c>
      <c r="B6" s="5">
        <v>151559</v>
      </c>
      <c r="C6" s="4">
        <v>130121</v>
      </c>
      <c r="D6" s="4">
        <v>184869</v>
      </c>
      <c r="E6" s="4">
        <v>233274</v>
      </c>
      <c r="F6" s="4">
        <v>151095</v>
      </c>
      <c r="G6" s="4">
        <v>127502</v>
      </c>
      <c r="H6" s="15"/>
    </row>
    <row r="7" spans="1:8" x14ac:dyDescent="0.3">
      <c r="A7" s="4" t="s">
        <v>14</v>
      </c>
      <c r="B7" s="5">
        <v>157177</v>
      </c>
      <c r="C7" s="4">
        <v>133320</v>
      </c>
      <c r="D7" s="4">
        <v>182570</v>
      </c>
      <c r="E7" s="4">
        <v>229167</v>
      </c>
      <c r="F7" s="4">
        <v>155838</v>
      </c>
      <c r="G7" s="4">
        <v>131303</v>
      </c>
      <c r="H7" s="15"/>
    </row>
    <row r="8" spans="1:8" x14ac:dyDescent="0.3">
      <c r="A8" s="4" t="s">
        <v>15</v>
      </c>
      <c r="B8" s="5">
        <v>145674</v>
      </c>
      <c r="C8" s="4">
        <v>125911</v>
      </c>
      <c r="D8" s="4">
        <v>183325</v>
      </c>
      <c r="E8" s="4">
        <v>223504</v>
      </c>
      <c r="F8" s="4">
        <v>154041</v>
      </c>
      <c r="G8" s="4">
        <v>132157</v>
      </c>
      <c r="H8" s="15"/>
    </row>
    <row r="9" spans="1:8" x14ac:dyDescent="0.3">
      <c r="A9" s="4" t="s">
        <v>16</v>
      </c>
      <c r="B9" s="5">
        <v>151650</v>
      </c>
      <c r="C9" s="4">
        <v>131141</v>
      </c>
      <c r="D9" s="4">
        <v>186001</v>
      </c>
      <c r="E9" s="4">
        <v>231597</v>
      </c>
      <c r="F9" s="4">
        <v>155384</v>
      </c>
      <c r="G9" s="4">
        <v>131003</v>
      </c>
      <c r="H9" s="15"/>
    </row>
    <row r="10" spans="1:8" x14ac:dyDescent="0.3">
      <c r="A10" s="4" t="s">
        <v>17</v>
      </c>
      <c r="B10" s="5">
        <v>148934</v>
      </c>
      <c r="C10" s="4">
        <v>124801</v>
      </c>
      <c r="D10" s="4">
        <v>188870</v>
      </c>
      <c r="E10" s="4">
        <v>234452</v>
      </c>
      <c r="F10" s="4">
        <v>161329</v>
      </c>
      <c r="G10" s="4">
        <v>137673</v>
      </c>
      <c r="H10" s="15"/>
    </row>
    <row r="11" spans="1:8" x14ac:dyDescent="0.3">
      <c r="A11" s="4" t="s">
        <v>18</v>
      </c>
      <c r="B11" s="5">
        <v>139904</v>
      </c>
      <c r="C11" s="4">
        <v>116735</v>
      </c>
      <c r="D11" s="4">
        <v>187457</v>
      </c>
      <c r="E11" s="4">
        <v>232724</v>
      </c>
      <c r="F11" s="4">
        <v>158982</v>
      </c>
      <c r="G11" s="4">
        <v>135859</v>
      </c>
      <c r="H11" s="15"/>
    </row>
    <row r="12" spans="1:8" x14ac:dyDescent="0.3">
      <c r="A12" s="4" t="s">
        <v>19</v>
      </c>
      <c r="B12" s="5">
        <v>143634</v>
      </c>
      <c r="C12" s="4">
        <v>114623</v>
      </c>
      <c r="D12" s="4">
        <v>186837</v>
      </c>
      <c r="E12" s="4">
        <v>231271</v>
      </c>
      <c r="F12" s="4">
        <v>156576</v>
      </c>
      <c r="G12" s="4">
        <v>132886</v>
      </c>
      <c r="H12" s="15"/>
    </row>
    <row r="13" spans="1:8" x14ac:dyDescent="0.3">
      <c r="A13" s="4" t="s">
        <v>20</v>
      </c>
      <c r="B13" s="5">
        <v>133207</v>
      </c>
      <c r="C13" s="4">
        <v>97610</v>
      </c>
      <c r="D13" s="4">
        <v>176757</v>
      </c>
      <c r="E13" s="4">
        <v>208945</v>
      </c>
      <c r="F13" s="4">
        <v>153077</v>
      </c>
      <c r="G13" s="4">
        <v>132093</v>
      </c>
      <c r="H13" s="15"/>
    </row>
    <row r="14" spans="1:8" x14ac:dyDescent="0.3">
      <c r="A14" s="4" t="s">
        <v>21</v>
      </c>
      <c r="B14" s="5">
        <v>135883</v>
      </c>
      <c r="C14" s="4">
        <v>99843</v>
      </c>
      <c r="D14" s="4">
        <v>175315</v>
      </c>
      <c r="E14" s="4">
        <v>210264</v>
      </c>
      <c r="F14" s="4">
        <v>150509</v>
      </c>
      <c r="G14" s="4">
        <v>129046</v>
      </c>
      <c r="H14" s="15"/>
    </row>
    <row r="15" spans="1:8" x14ac:dyDescent="0.3">
      <c r="A15" s="4" t="s">
        <v>22</v>
      </c>
      <c r="B15" s="5">
        <v>134001</v>
      </c>
      <c r="C15" s="4">
        <v>99053</v>
      </c>
      <c r="D15" s="4">
        <v>176367</v>
      </c>
      <c r="E15" s="4">
        <v>213353</v>
      </c>
      <c r="F15" s="4">
        <v>148435</v>
      </c>
      <c r="G15" s="4">
        <v>126817</v>
      </c>
      <c r="H15" s="15"/>
    </row>
    <row r="19" spans="1:8" ht="18" x14ac:dyDescent="0.3">
      <c r="A19" s="34" t="s">
        <v>23</v>
      </c>
      <c r="B19" s="34"/>
      <c r="C19" s="34"/>
      <c r="D19" s="34"/>
      <c r="E19" s="34"/>
      <c r="F19" s="34"/>
      <c r="G19" s="34"/>
      <c r="H19" s="13"/>
    </row>
    <row r="20" spans="1:8" x14ac:dyDescent="0.3">
      <c r="A20" s="1" t="s">
        <v>24</v>
      </c>
      <c r="B20" s="1" t="s">
        <v>4</v>
      </c>
      <c r="C20" s="1" t="s">
        <v>5</v>
      </c>
      <c r="D20" s="1" t="s">
        <v>6</v>
      </c>
      <c r="E20" s="1" t="s">
        <v>7</v>
      </c>
      <c r="F20" s="1" t="s">
        <v>8</v>
      </c>
      <c r="G20" s="1" t="s">
        <v>9</v>
      </c>
      <c r="H20" s="14"/>
    </row>
    <row r="21" spans="1:8" x14ac:dyDescent="0.3">
      <c r="A21" s="4">
        <v>1</v>
      </c>
      <c r="B21" s="4">
        <f t="shared" ref="B21:G21" si="0">(B4-B3)/B3</f>
        <v>1.4080611500842322E-2</v>
      </c>
      <c r="C21" s="4">
        <f t="shared" si="0"/>
        <v>1.8816135830152313E-2</v>
      </c>
      <c r="D21" s="4">
        <f t="shared" si="0"/>
        <v>1.0536330382577602E-2</v>
      </c>
      <c r="E21" s="4">
        <f t="shared" si="0"/>
        <v>1.6524980972406764E-2</v>
      </c>
      <c r="F21" s="4">
        <f t="shared" si="0"/>
        <v>1.0416807495234361E-2</v>
      </c>
      <c r="G21" s="4">
        <f t="shared" si="0"/>
        <v>7.6115171119364245E-3</v>
      </c>
      <c r="H21" s="15"/>
    </row>
    <row r="22" spans="1:8" x14ac:dyDescent="0.3">
      <c r="A22" s="4">
        <v>2</v>
      </c>
      <c r="B22" s="4">
        <f t="shared" ref="B22:G32" si="1">(B5-B4)/B4</f>
        <v>1.407106196226228E-2</v>
      </c>
      <c r="C22" s="4">
        <f t="shared" si="1"/>
        <v>9.9078408856697001E-3</v>
      </c>
      <c r="D22" s="4">
        <f t="shared" si="1"/>
        <v>8.8681838349078546E-3</v>
      </c>
      <c r="E22" s="4">
        <f t="shared" si="1"/>
        <v>5.042301184433164E-3</v>
      </c>
      <c r="F22" s="4">
        <f t="shared" si="1"/>
        <v>-2.6760327814015721E-5</v>
      </c>
      <c r="G22" s="4">
        <f t="shared" si="1"/>
        <v>8.7984907814010998E-4</v>
      </c>
      <c r="H22" s="15"/>
    </row>
    <row r="23" spans="1:8" x14ac:dyDescent="0.3">
      <c r="A23" s="4">
        <v>3</v>
      </c>
      <c r="B23" s="4">
        <f t="shared" si="1"/>
        <v>-7.3566267711529756E-2</v>
      </c>
      <c r="C23" s="4">
        <f t="shared" si="1"/>
        <v>-5.158238458286564E-2</v>
      </c>
      <c r="D23" s="4">
        <f t="shared" si="1"/>
        <v>-8.5167089462986102E-3</v>
      </c>
      <c r="E23" s="4">
        <f t="shared" si="1"/>
        <v>-1.8174012593016601E-2</v>
      </c>
      <c r="F23" s="4">
        <f t="shared" si="1"/>
        <v>1.0864983843019716E-2</v>
      </c>
      <c r="G23" s="4">
        <f t="shared" si="1"/>
        <v>9.7648670695103315E-3</v>
      </c>
      <c r="H23" s="15"/>
    </row>
    <row r="24" spans="1:8" x14ac:dyDescent="0.3">
      <c r="A24" s="4">
        <v>4</v>
      </c>
      <c r="B24" s="4">
        <f t="shared" si="1"/>
        <v>3.7068072499818555E-2</v>
      </c>
      <c r="C24" s="4">
        <f t="shared" si="1"/>
        <v>2.4584809523443565E-2</v>
      </c>
      <c r="D24" s="4">
        <f t="shared" si="1"/>
        <v>-1.2435832941163743E-2</v>
      </c>
      <c r="E24" s="4">
        <f t="shared" si="1"/>
        <v>-1.7605905501684713E-2</v>
      </c>
      <c r="F24" s="4">
        <f t="shared" si="1"/>
        <v>3.1390846818226945E-2</v>
      </c>
      <c r="G24" s="4">
        <f t="shared" si="1"/>
        <v>2.9811297077692898E-2</v>
      </c>
      <c r="H24" s="15"/>
    </row>
    <row r="25" spans="1:8" x14ac:dyDescent="0.3">
      <c r="A25" s="4">
        <v>5</v>
      </c>
      <c r="B25" s="4">
        <f t="shared" si="1"/>
        <v>-7.3185007984628792E-2</v>
      </c>
      <c r="C25" s="4">
        <f t="shared" si="1"/>
        <v>-5.5573057305730575E-2</v>
      </c>
      <c r="D25" s="4">
        <f t="shared" si="1"/>
        <v>4.1354001205017258E-3</v>
      </c>
      <c r="E25" s="4">
        <f t="shared" si="1"/>
        <v>-2.4711236783655586E-2</v>
      </c>
      <c r="F25" s="4">
        <f t="shared" si="1"/>
        <v>-1.1531205482616564E-2</v>
      </c>
      <c r="G25" s="4">
        <f t="shared" si="1"/>
        <v>6.504040273261083E-3</v>
      </c>
      <c r="H25" s="15"/>
    </row>
    <row r="26" spans="1:8" x14ac:dyDescent="0.3">
      <c r="A26" s="4">
        <v>6</v>
      </c>
      <c r="B26" s="4">
        <f t="shared" si="1"/>
        <v>4.1023106388236745E-2</v>
      </c>
      <c r="C26" s="4">
        <f t="shared" si="1"/>
        <v>4.1537276330106183E-2</v>
      </c>
      <c r="D26" s="4">
        <f t="shared" si="1"/>
        <v>1.4597027137597163E-2</v>
      </c>
      <c r="E26" s="4">
        <f t="shared" si="1"/>
        <v>3.6209642780442405E-2</v>
      </c>
      <c r="F26" s="4">
        <f t="shared" si="1"/>
        <v>8.7184580728507342E-3</v>
      </c>
      <c r="G26" s="4">
        <f t="shared" si="1"/>
        <v>-8.7320384088621864E-3</v>
      </c>
      <c r="H26" s="15"/>
    </row>
    <row r="27" spans="1:8" x14ac:dyDescent="0.3">
      <c r="A27" s="4">
        <v>7</v>
      </c>
      <c r="B27" s="4">
        <f t="shared" si="1"/>
        <v>-1.7909660402242004E-2</v>
      </c>
      <c r="C27" s="4">
        <f t="shared" si="1"/>
        <v>-4.8344911202446224E-2</v>
      </c>
      <c r="D27" s="4">
        <f t="shared" si="1"/>
        <v>1.5424648254579277E-2</v>
      </c>
      <c r="E27" s="4">
        <f t="shared" si="1"/>
        <v>1.2327448110295038E-2</v>
      </c>
      <c r="F27" s="4">
        <f t="shared" si="1"/>
        <v>3.8260052515059463E-2</v>
      </c>
      <c r="G27" s="4">
        <f t="shared" si="1"/>
        <v>5.0914864545086751E-2</v>
      </c>
      <c r="H27" s="15"/>
    </row>
    <row r="28" spans="1:8" x14ac:dyDescent="0.3">
      <c r="A28" s="4">
        <v>8</v>
      </c>
      <c r="B28" s="4">
        <f t="shared" si="1"/>
        <v>-6.0630883478587833E-2</v>
      </c>
      <c r="C28" s="4">
        <f t="shared" si="1"/>
        <v>-6.4630892380670033E-2</v>
      </c>
      <c r="D28" s="4">
        <f t="shared" si="1"/>
        <v>-7.4813363689310106E-3</v>
      </c>
      <c r="E28" s="4">
        <f t="shared" si="1"/>
        <v>-7.3703785849555557E-3</v>
      </c>
      <c r="F28" s="4">
        <f t="shared" si="1"/>
        <v>-1.454791141084368E-2</v>
      </c>
      <c r="G28" s="4">
        <f t="shared" si="1"/>
        <v>-1.3176149281267932E-2</v>
      </c>
      <c r="H28" s="15"/>
    </row>
    <row r="29" spans="1:8" x14ac:dyDescent="0.3">
      <c r="A29" s="4">
        <v>9</v>
      </c>
      <c r="B29" s="4">
        <f t="shared" si="1"/>
        <v>2.6661139066788655E-2</v>
      </c>
      <c r="C29" s="4">
        <f t="shared" si="1"/>
        <v>-1.809226024756928E-2</v>
      </c>
      <c r="D29" s="4">
        <f t="shared" si="1"/>
        <v>-3.3074251695055399E-3</v>
      </c>
      <c r="E29" s="4">
        <f t="shared" si="1"/>
        <v>-6.243447173475877E-3</v>
      </c>
      <c r="F29" s="4">
        <f t="shared" si="1"/>
        <v>-1.5133788730799713E-2</v>
      </c>
      <c r="G29" s="4">
        <f t="shared" si="1"/>
        <v>-2.1882981620650822E-2</v>
      </c>
      <c r="H29" s="15"/>
    </row>
    <row r="30" spans="1:8" x14ac:dyDescent="0.3">
      <c r="A30" s="4">
        <v>10</v>
      </c>
      <c r="B30" s="4">
        <f t="shared" si="1"/>
        <v>-7.2594232563320663E-2</v>
      </c>
      <c r="C30" s="4">
        <f t="shared" si="1"/>
        <v>-0.14842570862741333</v>
      </c>
      <c r="D30" s="4">
        <f t="shared" si="1"/>
        <v>-5.3950769922445768E-2</v>
      </c>
      <c r="E30" s="4">
        <f t="shared" si="1"/>
        <v>-9.6536098343501783E-2</v>
      </c>
      <c r="F30" s="4">
        <f t="shared" si="1"/>
        <v>-2.2346975270795013E-2</v>
      </c>
      <c r="G30" s="4">
        <f t="shared" si="1"/>
        <v>-5.9675210330659362E-3</v>
      </c>
      <c r="H30" s="15"/>
    </row>
    <row r="31" spans="1:8" x14ac:dyDescent="0.3">
      <c r="A31" s="4">
        <v>11</v>
      </c>
      <c r="B31" s="4">
        <f t="shared" si="1"/>
        <v>2.0089034360056154E-2</v>
      </c>
      <c r="C31" s="4">
        <f t="shared" si="1"/>
        <v>2.2876754430898472E-2</v>
      </c>
      <c r="D31" s="4">
        <f t="shared" si="1"/>
        <v>-8.1580927488020278E-3</v>
      </c>
      <c r="E31" s="4">
        <f t="shared" si="1"/>
        <v>6.312666012587044E-3</v>
      </c>
      <c r="F31" s="4">
        <f t="shared" si="1"/>
        <v>-1.6775870966899011E-2</v>
      </c>
      <c r="G31" s="4">
        <f t="shared" si="1"/>
        <v>-2.3067081525894637E-2</v>
      </c>
      <c r="H31" s="15"/>
    </row>
    <row r="32" spans="1:8" x14ac:dyDescent="0.3">
      <c r="A32" s="4">
        <v>12</v>
      </c>
      <c r="B32" s="4">
        <f t="shared" si="1"/>
        <v>-1.3850150497118845E-2</v>
      </c>
      <c r="C32" s="4">
        <f t="shared" si="1"/>
        <v>-7.9124225033302287E-3</v>
      </c>
      <c r="D32" s="4">
        <f t="shared" si="1"/>
        <v>6.0006274420329126E-3</v>
      </c>
      <c r="E32" s="4">
        <f t="shared" si="1"/>
        <v>1.4691055054598029E-2</v>
      </c>
      <c r="F32" s="4">
        <f t="shared" si="1"/>
        <v>-1.3779906849424288E-2</v>
      </c>
      <c r="G32" s="4">
        <f t="shared" si="1"/>
        <v>-1.7272910435038667E-2</v>
      </c>
      <c r="H32" s="15"/>
    </row>
    <row r="35" spans="1:15" ht="42.75" customHeight="1" x14ac:dyDescent="0.3">
      <c r="A35" s="35" t="s">
        <v>25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</row>
    <row r="39" spans="1:15" ht="18" x14ac:dyDescent="0.3">
      <c r="A39" s="34" t="s">
        <v>26</v>
      </c>
      <c r="B39" s="34"/>
      <c r="C39" s="34"/>
      <c r="D39" s="34"/>
      <c r="E39" s="34"/>
      <c r="F39" s="34"/>
      <c r="G39" s="34"/>
      <c r="H39" s="13"/>
    </row>
    <row r="40" spans="1:15" x14ac:dyDescent="0.3">
      <c r="A40" s="1"/>
      <c r="B40" s="1" t="s">
        <v>4</v>
      </c>
      <c r="C40" s="1" t="s">
        <v>5</v>
      </c>
      <c r="D40" s="1" t="s">
        <v>6</v>
      </c>
      <c r="E40" s="1" t="s">
        <v>7</v>
      </c>
      <c r="F40" s="1" t="s">
        <v>8</v>
      </c>
      <c r="G40" s="1" t="s">
        <v>9</v>
      </c>
      <c r="H40" s="14"/>
    </row>
    <row r="41" spans="1:15" x14ac:dyDescent="0.3">
      <c r="A41" s="6" t="s">
        <v>27</v>
      </c>
      <c r="B41" s="4">
        <f t="shared" ref="B41:G41" si="2">(B21+B22+B23+B24+B25+B26+B27+B28+B29+B30+B31+B32)/$A$32</f>
        <v>-1.3228598071618599E-2</v>
      </c>
      <c r="C41" s="4">
        <f t="shared" si="2"/>
        <v>-2.3069901654146255E-2</v>
      </c>
      <c r="D41" s="4">
        <f t="shared" si="2"/>
        <v>-2.8573290770791803E-3</v>
      </c>
      <c r="E41" s="4">
        <f t="shared" si="2"/>
        <v>-6.6277487387939732E-3</v>
      </c>
      <c r="F41" s="4">
        <f t="shared" si="2"/>
        <v>4.5906080876657944E-4</v>
      </c>
      <c r="G41" s="4">
        <f t="shared" si="2"/>
        <v>1.2823127375706188E-3</v>
      </c>
      <c r="H41" s="15"/>
    </row>
    <row r="43" spans="1:15" ht="30.75" customHeight="1" x14ac:dyDescent="0.3">
      <c r="A43" s="41" t="s">
        <v>28</v>
      </c>
      <c r="B43" s="42"/>
      <c r="C43" s="42"/>
      <c r="D43" s="42"/>
      <c r="E43" s="42"/>
      <c r="F43" s="42"/>
      <c r="G43" s="42"/>
      <c r="H43" s="16"/>
    </row>
    <row r="47" spans="1:15" ht="18" x14ac:dyDescent="0.3">
      <c r="A47" s="34" t="s">
        <v>29</v>
      </c>
      <c r="B47" s="34"/>
      <c r="C47" s="34"/>
      <c r="D47" s="34"/>
      <c r="E47" s="34"/>
      <c r="F47" s="34"/>
      <c r="G47" s="34"/>
      <c r="H47" s="13"/>
    </row>
    <row r="48" spans="1:15" x14ac:dyDescent="0.3">
      <c r="A48" s="1"/>
      <c r="B48" s="1" t="s">
        <v>4</v>
      </c>
      <c r="C48" s="1" t="s">
        <v>5</v>
      </c>
      <c r="D48" s="1" t="s">
        <v>6</v>
      </c>
      <c r="E48" s="1" t="s">
        <v>7</v>
      </c>
      <c r="F48" s="1" t="s">
        <v>8</v>
      </c>
      <c r="G48" s="1" t="s">
        <v>9</v>
      </c>
      <c r="H48" s="14"/>
    </row>
    <row r="49" spans="1:8" x14ac:dyDescent="0.3">
      <c r="A49" s="6" t="s">
        <v>30</v>
      </c>
      <c r="B49" s="4">
        <f>STDEV(B21:B32)</f>
        <v>4.5421542738532376E-2</v>
      </c>
      <c r="C49" s="4">
        <f t="shared" ref="C49:G49" si="3">STDEV(C21:C32)</f>
        <v>5.359977025652219E-2</v>
      </c>
      <c r="D49" s="4">
        <f t="shared" si="3"/>
        <v>1.8749843169642417E-2</v>
      </c>
      <c r="E49" s="4">
        <f t="shared" si="3"/>
        <v>3.323960599996767E-2</v>
      </c>
      <c r="F49" s="4">
        <f t="shared" si="3"/>
        <v>1.9756708851266295E-2</v>
      </c>
      <c r="G49" s="4">
        <f t="shared" si="3"/>
        <v>2.1851666737111929E-2</v>
      </c>
      <c r="H49" s="15"/>
    </row>
    <row r="53" spans="1:8" ht="18" x14ac:dyDescent="0.3">
      <c r="A53" s="34" t="s">
        <v>31</v>
      </c>
      <c r="B53" s="34"/>
      <c r="C53" s="34"/>
      <c r="D53" s="34"/>
      <c r="E53" s="34"/>
      <c r="F53" s="34"/>
      <c r="G53" s="34"/>
      <c r="H53" s="13"/>
    </row>
    <row r="68" spans="1:35" ht="18" x14ac:dyDescent="0.3">
      <c r="A68" s="34" t="s">
        <v>32</v>
      </c>
      <c r="B68" s="34"/>
      <c r="C68" s="34"/>
      <c r="D68" s="34"/>
      <c r="V68" s="3"/>
      <c r="W68" s="3"/>
      <c r="X68" s="3"/>
      <c r="AG68"/>
      <c r="AH68"/>
      <c r="AI68"/>
    </row>
    <row r="69" spans="1:35" x14ac:dyDescent="0.3">
      <c r="A69" s="1" t="s">
        <v>33</v>
      </c>
      <c r="B69" s="1" t="s">
        <v>34</v>
      </c>
      <c r="C69" s="1" t="s">
        <v>35</v>
      </c>
      <c r="D69" s="1" t="s">
        <v>36</v>
      </c>
    </row>
    <row r="70" spans="1:35" x14ac:dyDescent="0.3">
      <c r="A70" s="4" t="s">
        <v>4</v>
      </c>
      <c r="B70" s="4">
        <f>B41</f>
        <v>-1.3228598071618599E-2</v>
      </c>
      <c r="C70" s="4">
        <v>0.1</v>
      </c>
      <c r="D70" s="4">
        <f>B70*C70</f>
        <v>-1.3228598071618599E-3</v>
      </c>
    </row>
    <row r="71" spans="1:35" x14ac:dyDescent="0.3">
      <c r="A71" s="4" t="s">
        <v>5</v>
      </c>
      <c r="B71" s="4">
        <f>C41</f>
        <v>-2.3069901654146255E-2</v>
      </c>
      <c r="C71" s="4">
        <v>0.1</v>
      </c>
      <c r="D71" s="4">
        <f>B71*C71</f>
        <v>-2.3069901654146257E-3</v>
      </c>
    </row>
    <row r="72" spans="1:35" x14ac:dyDescent="0.3">
      <c r="A72" s="4" t="s">
        <v>6</v>
      </c>
      <c r="B72" s="4">
        <f>D41</f>
        <v>-2.8573290770791803E-3</v>
      </c>
      <c r="C72" s="4">
        <v>0.1</v>
      </c>
      <c r="D72" s="4">
        <f t="shared" ref="D72:D75" si="4">B72*C72</f>
        <v>-2.8573290770791802E-4</v>
      </c>
    </row>
    <row r="73" spans="1:35" x14ac:dyDescent="0.3">
      <c r="A73" s="4" t="s">
        <v>7</v>
      </c>
      <c r="B73" s="4">
        <f>E41</f>
        <v>-6.6277487387939732E-3</v>
      </c>
      <c r="C73" s="4">
        <v>0.1</v>
      </c>
      <c r="D73" s="4">
        <f t="shared" si="4"/>
        <v>-6.6277487387939732E-4</v>
      </c>
    </row>
    <row r="74" spans="1:35" x14ac:dyDescent="0.3">
      <c r="A74" s="4" t="s">
        <v>8</v>
      </c>
      <c r="B74" s="4">
        <f>F41</f>
        <v>4.5906080876657944E-4</v>
      </c>
      <c r="C74" s="4">
        <v>0.1</v>
      </c>
      <c r="D74" s="4">
        <f t="shared" si="4"/>
        <v>4.5906080876657948E-5</v>
      </c>
    </row>
    <row r="75" spans="1:35" x14ac:dyDescent="0.3">
      <c r="A75" s="4" t="s">
        <v>9</v>
      </c>
      <c r="B75" s="4">
        <f>G41</f>
        <v>1.2823127375706188E-3</v>
      </c>
      <c r="C75" s="4">
        <v>0.5</v>
      </c>
      <c r="D75" s="4">
        <f t="shared" si="4"/>
        <v>6.411563687853094E-4</v>
      </c>
    </row>
    <row r="77" spans="1:35" x14ac:dyDescent="0.3">
      <c r="A77" s="40" t="s">
        <v>37</v>
      </c>
      <c r="B77" s="40"/>
      <c r="C77" s="7">
        <f>SUM(D70:D75)</f>
        <v>-3.8912953045018334E-3</v>
      </c>
    </row>
    <row r="81" spans="1:35" ht="18" x14ac:dyDescent="0.3">
      <c r="A81" s="37" t="s">
        <v>38</v>
      </c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35" ht="18" x14ac:dyDescent="0.3">
      <c r="A82" s="38" t="s">
        <v>39</v>
      </c>
      <c r="B82" s="38"/>
      <c r="C82" s="38"/>
      <c r="D82" s="38"/>
      <c r="E82" s="38"/>
      <c r="F82" s="38"/>
      <c r="G82" s="38"/>
      <c r="H82" s="39"/>
      <c r="I82" s="39"/>
      <c r="J82" s="39"/>
      <c r="K82" s="39"/>
    </row>
    <row r="83" spans="1:35" x14ac:dyDescent="0.3">
      <c r="A83" s="8"/>
      <c r="B83" s="8" t="s">
        <v>4</v>
      </c>
      <c r="C83" s="8" t="s">
        <v>5</v>
      </c>
      <c r="D83" s="8" t="s">
        <v>6</v>
      </c>
      <c r="E83" s="8" t="s">
        <v>7</v>
      </c>
      <c r="F83" s="8" t="s">
        <v>8</v>
      </c>
      <c r="G83" s="9" t="s">
        <v>9</v>
      </c>
      <c r="H83" s="1"/>
      <c r="I83" s="17" t="s">
        <v>40</v>
      </c>
      <c r="J83" s="1"/>
      <c r="K83" s="1" t="s">
        <v>41</v>
      </c>
    </row>
    <row r="84" spans="1:35" x14ac:dyDescent="0.3">
      <c r="A84" s="6" t="s">
        <v>4</v>
      </c>
      <c r="B84" s="19">
        <f>VAR(B21:B32)</f>
        <v>2.0631165447483235E-3</v>
      </c>
      <c r="C84" s="19">
        <f>COVAR(B21:B32,C21:C32)</f>
        <v>1.9054520138451026E-3</v>
      </c>
      <c r="D84" s="19">
        <f>COVAR(B21:B32,D21:D32)</f>
        <v>3.3666537690564199E-4</v>
      </c>
      <c r="E84" s="19">
        <f>COVAR(B21:B32,E21:E32)</f>
        <v>8.517303850295874E-4</v>
      </c>
      <c r="F84" s="19">
        <f>COVAR(B21:B32,F21:F32)</f>
        <v>2.5454092514923233E-4</v>
      </c>
      <c r="G84" s="20">
        <f>COVAR(B21:B32,G21:G32)</f>
        <v>-5.0982034338439902E-5</v>
      </c>
      <c r="H84" s="18"/>
      <c r="I84" s="4">
        <v>0.1</v>
      </c>
      <c r="J84" s="4"/>
      <c r="K84" s="10" cm="1">
        <f t="array" ref="K84:K89">MMULT(B84:G89,I84:I89)</f>
        <v>5.1565950739856882E-4</v>
      </c>
    </row>
    <row r="85" spans="1:35" x14ac:dyDescent="0.3">
      <c r="A85" s="6" t="s">
        <v>5</v>
      </c>
      <c r="B85" s="19">
        <f>C84</f>
        <v>1.9054520138451026E-3</v>
      </c>
      <c r="C85" s="19">
        <f>VAR(C21:C32)</f>
        <v>2.8729353715519611E-3</v>
      </c>
      <c r="D85" s="19">
        <f>COVAR(C21:C32,D21:D32)</f>
        <v>6.3136779396498997E-4</v>
      </c>
      <c r="E85" s="19">
        <f>COVAR(C21:C32,E21:E32)</f>
        <v>1.3548316306002074E-3</v>
      </c>
      <c r="F85" s="19">
        <f>COVAR(C21:C32,F21:F32)</f>
        <v>3.2863142038043464E-4</v>
      </c>
      <c r="G85" s="20">
        <f>COVAR(C21:C32,G21:G32)</f>
        <v>-5.8940454233460912E-5</v>
      </c>
      <c r="H85" s="12"/>
      <c r="I85" s="4">
        <v>0.1</v>
      </c>
      <c r="J85" s="4"/>
      <c r="K85" s="10">
        <v>6.7985159591753914E-4</v>
      </c>
    </row>
    <row r="86" spans="1:35" x14ac:dyDescent="0.3">
      <c r="A86" s="6" t="s">
        <v>6</v>
      </c>
      <c r="B86" s="19">
        <f>D84</f>
        <v>3.3666537690564199E-4</v>
      </c>
      <c r="C86" s="19">
        <f>D85</f>
        <v>6.3136779396498997E-4</v>
      </c>
      <c r="D86" s="19">
        <f>VAR(D21:D32)</f>
        <v>3.5155661888618643E-4</v>
      </c>
      <c r="E86" s="19">
        <f>COVAR(D21:D32,E21:E32)</f>
        <v>5.25204632964306E-4</v>
      </c>
      <c r="F86" s="19">
        <f>COVAR(D21:D32,F21:F32)</f>
        <v>1.4423142850221706E-4</v>
      </c>
      <c r="G86" s="20">
        <f>COVAR(D21:D32,G21:G32)</f>
        <v>7.8357751031424153E-5</v>
      </c>
      <c r="H86" s="12"/>
      <c r="I86" s="4">
        <v>0.1</v>
      </c>
      <c r="J86" s="4"/>
      <c r="K86" s="10">
        <v>2.3808146063804619E-4</v>
      </c>
    </row>
    <row r="87" spans="1:35" x14ac:dyDescent="0.3">
      <c r="A87" s="6" t="s">
        <v>7</v>
      </c>
      <c r="B87" s="19">
        <f>E84</f>
        <v>8.517303850295874E-4</v>
      </c>
      <c r="C87" s="19">
        <f>E85</f>
        <v>1.3548316306002074E-3</v>
      </c>
      <c r="D87" s="19">
        <f>E86</f>
        <v>5.25204632964306E-4</v>
      </c>
      <c r="E87" s="19">
        <f>VAR(E21:E32)</f>
        <v>1.1048714070330868E-3</v>
      </c>
      <c r="F87" s="19">
        <f>COVAR(E21:E32,F21:F32)</f>
        <v>2.1511153775174478E-4</v>
      </c>
      <c r="G87" s="20">
        <f>COVAR(E21:E32,G21:G32)</f>
        <v>7.5893473762703427E-6</v>
      </c>
      <c r="H87" s="12"/>
      <c r="I87" s="4">
        <v>0.1</v>
      </c>
      <c r="J87" s="4"/>
      <c r="K87" s="10">
        <v>4.0896963302602843E-4</v>
      </c>
    </row>
    <row r="88" spans="1:35" x14ac:dyDescent="0.3">
      <c r="A88" s="6" t="s">
        <v>8</v>
      </c>
      <c r="B88" s="19">
        <f>F84</f>
        <v>2.5454092514923233E-4</v>
      </c>
      <c r="C88" s="19">
        <f>F85</f>
        <v>3.2863142038043464E-4</v>
      </c>
      <c r="D88" s="19">
        <f>F86</f>
        <v>1.4423142850221706E-4</v>
      </c>
      <c r="E88" s="19">
        <f>F87</f>
        <v>2.1511153775174478E-4</v>
      </c>
      <c r="F88" s="19">
        <f>VAR(F21:F32)</f>
        <v>3.9032754463370396E-4</v>
      </c>
      <c r="G88" s="20">
        <f>COVAR(F21:F32,G21:G32)</f>
        <v>3.493480571643552E-4</v>
      </c>
      <c r="H88" s="12"/>
      <c r="I88" s="4">
        <v>0.1</v>
      </c>
      <c r="J88" s="4"/>
      <c r="K88" s="10">
        <v>3.0795831422391088E-4</v>
      </c>
    </row>
    <row r="89" spans="1:35" x14ac:dyDescent="0.3">
      <c r="A89" s="6" t="s">
        <v>9</v>
      </c>
      <c r="B89" s="19">
        <f>G84</f>
        <v>-5.0982034338439902E-5</v>
      </c>
      <c r="C89" s="19">
        <f>G85</f>
        <v>-5.8940454233460912E-5</v>
      </c>
      <c r="D89" s="19">
        <f>G86</f>
        <v>7.8357751031424153E-5</v>
      </c>
      <c r="E89" s="19">
        <f>G87</f>
        <v>7.5893473762703427E-6</v>
      </c>
      <c r="F89" s="19">
        <f>G88</f>
        <v>3.493480571643552E-4</v>
      </c>
      <c r="G89" s="20">
        <f>VAR(G21:G32)</f>
        <v>4.7749533918980388E-4</v>
      </c>
      <c r="H89" s="12"/>
      <c r="I89" s="4">
        <v>0.5</v>
      </c>
      <c r="J89" s="4"/>
      <c r="K89" s="10">
        <v>2.7128493629491681E-4</v>
      </c>
    </row>
    <row r="93" spans="1:35" ht="18" x14ac:dyDescent="0.3">
      <c r="A93" s="28" t="s">
        <v>42</v>
      </c>
      <c r="B93" s="29"/>
      <c r="C93" s="29"/>
      <c r="D93" s="29"/>
      <c r="E93" s="30"/>
      <c r="F93" s="11"/>
      <c r="G93" s="11"/>
      <c r="V93" s="3"/>
      <c r="W93" s="3"/>
      <c r="X93" s="3"/>
      <c r="AG93"/>
      <c r="AH93"/>
      <c r="AI93"/>
    </row>
    <row r="94" spans="1:35" ht="18" x14ac:dyDescent="0.3">
      <c r="A94" s="31" t="s">
        <v>43</v>
      </c>
      <c r="B94" s="32"/>
      <c r="C94" s="32"/>
      <c r="D94" s="32"/>
      <c r="E94" s="33"/>
      <c r="U94" s="3"/>
      <c r="V94" s="3"/>
      <c r="W94" s="3"/>
      <c r="X94" s="3"/>
      <c r="AF94"/>
      <c r="AG94"/>
      <c r="AH94"/>
      <c r="AI94"/>
    </row>
    <row r="95" spans="1:35" x14ac:dyDescent="0.3">
      <c r="A95" s="1" t="s">
        <v>33</v>
      </c>
      <c r="B95" s="1" t="s">
        <v>44</v>
      </c>
      <c r="C95" s="1" t="s">
        <v>45</v>
      </c>
      <c r="D95" s="1" t="s">
        <v>36</v>
      </c>
      <c r="E95" s="1" t="s">
        <v>46</v>
      </c>
      <c r="F95" s="11"/>
      <c r="G95" s="11"/>
      <c r="V95" s="3"/>
      <c r="W95" s="3"/>
      <c r="X95" s="3"/>
      <c r="AG95"/>
      <c r="AH95"/>
      <c r="AI95"/>
    </row>
    <row r="96" spans="1:35" x14ac:dyDescent="0.3">
      <c r="A96" s="21" t="s">
        <v>4</v>
      </c>
      <c r="B96" s="22">
        <v>0.2</v>
      </c>
      <c r="C96" s="22">
        <f t="shared" ref="C96:C101" si="5">B70</f>
        <v>-1.3228598071618599E-2</v>
      </c>
      <c r="D96" s="18">
        <f t="shared" ref="D96:D101" si="6">B96*C96</f>
        <v>-2.6457196143237199E-3</v>
      </c>
      <c r="E96" s="23" cm="1">
        <f t="array" ref="E96:E101">MMULT(B84:G89,B96:B101)</f>
        <v>1.0721046422678894E-3</v>
      </c>
      <c r="W96" s="3"/>
      <c r="X96" s="3"/>
      <c r="AH96"/>
      <c r="AI96"/>
    </row>
    <row r="97" spans="1:35" x14ac:dyDescent="0.3">
      <c r="A97" s="6" t="s">
        <v>5</v>
      </c>
      <c r="B97" s="4">
        <v>0.2</v>
      </c>
      <c r="C97" s="4">
        <f t="shared" si="5"/>
        <v>-2.3069901654146255E-2</v>
      </c>
      <c r="D97" s="12">
        <f t="shared" si="6"/>
        <v>-4.6139803308292513E-3</v>
      </c>
      <c r="E97" s="10">
        <v>1.4068555552218471E-3</v>
      </c>
      <c r="W97" s="3"/>
      <c r="X97" s="3"/>
      <c r="AH97"/>
      <c r="AI97"/>
    </row>
    <row r="98" spans="1:35" x14ac:dyDescent="0.3">
      <c r="A98" s="6" t="s">
        <v>6</v>
      </c>
      <c r="B98" s="4">
        <v>0.2</v>
      </c>
      <c r="C98" s="4">
        <f t="shared" si="5"/>
        <v>-2.8573290770791803E-3</v>
      </c>
      <c r="D98" s="12">
        <f t="shared" si="6"/>
        <v>-5.7146581541583604E-4</v>
      </c>
      <c r="E98" s="10">
        <v>4.1347672045095304E-4</v>
      </c>
      <c r="W98" s="3"/>
      <c r="X98" s="3"/>
      <c r="AH98"/>
      <c r="AI98"/>
    </row>
    <row r="99" spans="1:35" x14ac:dyDescent="0.3">
      <c r="A99" s="6" t="s">
        <v>7</v>
      </c>
      <c r="B99" s="4">
        <v>0.2</v>
      </c>
      <c r="C99" s="4">
        <f t="shared" si="5"/>
        <v>-6.6277487387939732E-3</v>
      </c>
      <c r="D99" s="12">
        <f t="shared" si="6"/>
        <v>-1.3255497477587946E-3</v>
      </c>
      <c r="E99" s="10">
        <v>8.118677881510406E-4</v>
      </c>
      <c r="W99" s="3"/>
      <c r="X99" s="3"/>
      <c r="AH99"/>
      <c r="AI99"/>
    </row>
    <row r="100" spans="1:35" x14ac:dyDescent="0.3">
      <c r="A100" s="6" t="s">
        <v>8</v>
      </c>
      <c r="B100" s="4">
        <v>0.2</v>
      </c>
      <c r="C100" s="4">
        <f t="shared" si="5"/>
        <v>4.5906080876657944E-4</v>
      </c>
      <c r="D100" s="12">
        <f t="shared" si="6"/>
        <v>9.1812161753315895E-5</v>
      </c>
      <c r="E100" s="10">
        <v>3.364381827163376E-4</v>
      </c>
      <c r="W100" s="3"/>
      <c r="X100" s="3"/>
      <c r="AH100"/>
      <c r="AI100"/>
    </row>
    <row r="101" spans="1:35" x14ac:dyDescent="0.3">
      <c r="A101" s="6" t="s">
        <v>9</v>
      </c>
      <c r="B101" s="4">
        <v>0.2</v>
      </c>
      <c r="C101" s="4">
        <f t="shared" si="5"/>
        <v>1.2823127375706188E-3</v>
      </c>
      <c r="D101" s="12">
        <f t="shared" si="6"/>
        <v>2.5646254751412377E-4</v>
      </c>
      <c r="E101" s="10">
        <v>1.6057360123799056E-4</v>
      </c>
      <c r="W101" s="3"/>
      <c r="X101" s="3"/>
      <c r="AH101"/>
      <c r="AI101"/>
    </row>
  </sheetData>
  <mergeCells count="13">
    <mergeCell ref="A93:E93"/>
    <mergeCell ref="A94:E94"/>
    <mergeCell ref="A1:G1"/>
    <mergeCell ref="A19:G19"/>
    <mergeCell ref="A35:O35"/>
    <mergeCell ref="A81:K81"/>
    <mergeCell ref="A82:K82"/>
    <mergeCell ref="A77:B77"/>
    <mergeCell ref="A39:G39"/>
    <mergeCell ref="A43:G43"/>
    <mergeCell ref="A47:G47"/>
    <mergeCell ref="A53:G53"/>
    <mergeCell ref="A68:D6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Ονοματεπώνυμο, Α.Μ.</vt:lpstr>
      <vt:lpstr>Άσκηση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Παναγιωτης Κωστ.</dc:creator>
  <cp:keywords/>
  <dc:description/>
  <cp:lastModifiedBy>Παναγιωτης Κωστ.</cp:lastModifiedBy>
  <cp:revision/>
  <dcterms:created xsi:type="dcterms:W3CDTF">2024-06-11T14:12:09Z</dcterms:created>
  <dcterms:modified xsi:type="dcterms:W3CDTF">2026-08-11T08:44:44Z</dcterms:modified>
  <cp:category/>
  <cp:contentStatus/>
</cp:coreProperties>
</file>