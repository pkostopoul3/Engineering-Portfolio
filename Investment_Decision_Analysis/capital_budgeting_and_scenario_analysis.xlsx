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00EEDD22-6E64-44E3-8194-E079321F17A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Άσκηση 1" sheetId="1" r:id="rId1"/>
    <sheet name="Άσκηση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2" l="1"/>
  <c r="F45" i="2"/>
  <c r="D45" i="2"/>
  <c r="G44" i="2"/>
  <c r="F44" i="2"/>
  <c r="E44" i="2"/>
  <c r="D44" i="2"/>
  <c r="G41" i="2"/>
  <c r="F41" i="2"/>
  <c r="E41" i="2"/>
  <c r="D41" i="2"/>
  <c r="E40" i="2"/>
  <c r="F40" i="2"/>
  <c r="G40" i="2"/>
  <c r="D40" i="2"/>
  <c r="G39" i="2"/>
  <c r="F39" i="2"/>
  <c r="E39" i="2"/>
  <c r="D39" i="2"/>
  <c r="G38" i="2"/>
  <c r="F38" i="2"/>
  <c r="E38" i="2"/>
  <c r="D38" i="2"/>
  <c r="E37" i="2"/>
  <c r="F37" i="2"/>
  <c r="G37" i="2"/>
  <c r="D37" i="2"/>
  <c r="D13" i="1"/>
  <c r="G36" i="2"/>
  <c r="F36" i="2"/>
  <c r="E36" i="2"/>
  <c r="D36" i="2"/>
  <c r="G33" i="2"/>
  <c r="F33" i="2"/>
  <c r="E33" i="2"/>
  <c r="D33" i="2"/>
  <c r="G32" i="2"/>
  <c r="F32" i="2"/>
  <c r="E32" i="2"/>
  <c r="D32" i="2"/>
  <c r="C44" i="2"/>
  <c r="D25" i="2"/>
  <c r="E25" i="2" s="1"/>
  <c r="F25" i="2" s="1"/>
  <c r="C19" i="2"/>
  <c r="N13" i="1"/>
  <c r="O13" i="1"/>
  <c r="P13" i="1"/>
  <c r="Q13" i="1"/>
  <c r="R13" i="1"/>
  <c r="N14" i="1"/>
  <c r="O14" i="1"/>
  <c r="P14" i="1"/>
  <c r="Q14" i="1"/>
  <c r="R14" i="1"/>
  <c r="N15" i="1"/>
  <c r="O15" i="1"/>
  <c r="P15" i="1"/>
  <c r="Q15" i="1"/>
  <c r="R15" i="1"/>
  <c r="N16" i="1"/>
  <c r="O16" i="1"/>
  <c r="P16" i="1"/>
  <c r="Q16" i="1"/>
  <c r="R16" i="1"/>
  <c r="M34" i="1"/>
  <c r="L34" i="1"/>
  <c r="K34" i="1"/>
  <c r="J34" i="1"/>
  <c r="I34" i="1"/>
  <c r="H34" i="1"/>
  <c r="G34" i="1"/>
  <c r="F34" i="1"/>
  <c r="E34" i="1"/>
  <c r="D34" i="1"/>
  <c r="E32" i="1"/>
  <c r="E35" i="1" s="1"/>
  <c r="F32" i="1"/>
  <c r="F35" i="1" s="1"/>
  <c r="G32" i="1"/>
  <c r="G35" i="1" s="1"/>
  <c r="H32" i="1"/>
  <c r="H35" i="1" s="1"/>
  <c r="I32" i="1"/>
  <c r="I35" i="1" s="1"/>
  <c r="J32" i="1"/>
  <c r="J35" i="1" s="1"/>
  <c r="K32" i="1"/>
  <c r="K35" i="1" s="1"/>
  <c r="L32" i="1"/>
  <c r="L35" i="1" s="1"/>
  <c r="M32" i="1"/>
  <c r="M35" i="1" s="1"/>
  <c r="D32" i="1"/>
  <c r="D35" i="1" s="1"/>
  <c r="E13" i="1"/>
  <c r="F13" i="1"/>
  <c r="G13" i="1"/>
  <c r="H13" i="1"/>
  <c r="I13" i="1"/>
  <c r="J13" i="1"/>
  <c r="K13" i="1"/>
  <c r="L13" i="1"/>
  <c r="M13" i="1"/>
  <c r="E14" i="1"/>
  <c r="F14" i="1"/>
  <c r="G14" i="1"/>
  <c r="H14" i="1"/>
  <c r="I14" i="1"/>
  <c r="J14" i="1"/>
  <c r="K14" i="1"/>
  <c r="L14" i="1"/>
  <c r="M14" i="1"/>
  <c r="D14" i="1"/>
  <c r="D26" i="2" l="1"/>
  <c r="E26" i="2" s="1"/>
  <c r="D36" i="1"/>
  <c r="D37" i="1" s="1"/>
  <c r="M36" i="1"/>
  <c r="M37" i="1" s="1"/>
  <c r="L36" i="1"/>
  <c r="L37" i="1" s="1"/>
  <c r="K36" i="1"/>
  <c r="K37" i="1" s="1"/>
  <c r="J36" i="1"/>
  <c r="J37" i="1" s="1"/>
  <c r="I36" i="1"/>
  <c r="I37" i="1" s="1"/>
  <c r="H36" i="1"/>
  <c r="H37" i="1" s="1"/>
  <c r="G36" i="1"/>
  <c r="G37" i="1" s="1"/>
  <c r="F36" i="1"/>
  <c r="F37" i="1" s="1"/>
  <c r="E36" i="1"/>
  <c r="E37" i="1" s="1"/>
  <c r="D15" i="1"/>
  <c r="D16" i="1"/>
  <c r="M15" i="1"/>
  <c r="M16" i="1" s="1"/>
  <c r="L15" i="1"/>
  <c r="L16" i="1" s="1"/>
  <c r="K15" i="1"/>
  <c r="K16" i="1" s="1"/>
  <c r="J15" i="1"/>
  <c r="J16" i="1" s="1"/>
  <c r="I15" i="1"/>
  <c r="I16" i="1" s="1"/>
  <c r="H15" i="1"/>
  <c r="H16" i="1" s="1"/>
  <c r="G15" i="1"/>
  <c r="G16" i="1" s="1"/>
  <c r="F15" i="1"/>
  <c r="F16" i="1" s="1"/>
  <c r="E15" i="1"/>
  <c r="E16" i="1" s="1"/>
  <c r="C38" i="1" l="1"/>
  <c r="C17" i="1"/>
</calcChain>
</file>

<file path=xl/sharedStrings.xml><?xml version="1.0" encoding="utf-8"?>
<sst xmlns="http://schemas.openxmlformats.org/spreadsheetml/2006/main" count="78" uniqueCount="50">
  <si>
    <t>Μηχανή Α</t>
  </si>
  <si>
    <t>Κόστος Κτήσης A</t>
  </si>
  <si>
    <t xml:space="preserve">Αύξηση </t>
  </si>
  <si>
    <t xml:space="preserve">Υπολειματική Αξία </t>
  </si>
  <si>
    <t>Φόρος</t>
  </si>
  <si>
    <t>Προεξοφλυτικό Επιτόκιο</t>
  </si>
  <si>
    <t>Έτη</t>
  </si>
  <si>
    <t>Εισπράξεις</t>
  </si>
  <si>
    <t>Ετήσια Έξοδα</t>
  </si>
  <si>
    <t>Αποσβέσεις</t>
  </si>
  <si>
    <t>Κέρδη πρίν από φόρους</t>
  </si>
  <si>
    <t>ΚΤΡ</t>
  </si>
  <si>
    <t>ΚΠΑ (Α)</t>
  </si>
  <si>
    <t>Μηχανή B</t>
  </si>
  <si>
    <t>Κόστος Κτήσης B</t>
  </si>
  <si>
    <t>ΚΠΑ (Β)</t>
  </si>
  <si>
    <t>Έτος 1</t>
  </si>
  <si>
    <t>Έτος 2</t>
  </si>
  <si>
    <t>Σενάριο Α</t>
  </si>
  <si>
    <t>Σενάριο Β</t>
  </si>
  <si>
    <t>Πωλήσεις σε Τεμάχια</t>
  </si>
  <si>
    <t>Μεταβλητό Κόστος ανά Μονάδα Προιόντος</t>
  </si>
  <si>
    <t>Τιμή Πώλησης ανά Μονάδα Προιόντος</t>
  </si>
  <si>
    <t>Έξοδα Διοίκησης και Διάθεσης</t>
  </si>
  <si>
    <t>Κεφάλαιο Κίνησης</t>
  </si>
  <si>
    <t>Κόστος Επένδυσης</t>
  </si>
  <si>
    <t>Πιθανότητα</t>
  </si>
  <si>
    <t>Επιτόκιο</t>
  </si>
  <si>
    <t>Δόσεις</t>
  </si>
  <si>
    <t>Υπολειματική Αξία</t>
  </si>
  <si>
    <t>Ωφέλιμη Διάρκεια Ζωής</t>
  </si>
  <si>
    <t>Ποσό Δόσης</t>
  </si>
  <si>
    <t>Υπολογισμός Δανείου</t>
  </si>
  <si>
    <t>Έτος</t>
  </si>
  <si>
    <t>Τόκοι</t>
  </si>
  <si>
    <t>Αρχικό Κεφάλαιο</t>
  </si>
  <si>
    <t>Υπόλοιπο προς Εξόφληση</t>
  </si>
  <si>
    <t>Σενάριο</t>
  </si>
  <si>
    <t>-</t>
  </si>
  <si>
    <t>Α</t>
  </si>
  <si>
    <t>Β</t>
  </si>
  <si>
    <t>Συνολικό Μεταβλητό Κόστος</t>
  </si>
  <si>
    <t>Έξοδα Συντήρησης</t>
  </si>
  <si>
    <t>Συνολικά Έξοδα</t>
  </si>
  <si>
    <t>Έσοδα πριν από Φόρους</t>
  </si>
  <si>
    <t>Καθαρές Ταμειακές Ροές μετά από τους Φόρους</t>
  </si>
  <si>
    <t>Αποδεσμευμένα Κεφάλαια</t>
  </si>
  <si>
    <t>Καθαρές Ταμειακές Ροές</t>
  </si>
  <si>
    <t>Αναμενόμενη Καθαρή Ταμειακή Ροή</t>
  </si>
  <si>
    <t>ΚΠΑ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</si>
</sst>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#,##0.00\ &quot;€&quot;;[Red]\-#,##0.00\ &quot;€&quot;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9" fontId="1" fillId="0" borderId="0" xfId="0" applyNumberFormat="1" applyFont="1" applyAlignment="1">
      <alignment horizontal="center" vertical="center" wrapText="1"/>
    </xf>
    <xf numFmtId="3" fontId="1" fillId="3" borderId="2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9" fontId="1" fillId="3" borderId="3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3" fontId="1" fillId="3" borderId="5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" fontId="1" fillId="3" borderId="5" xfId="0" applyNumberFormat="1" applyFont="1" applyFill="1" applyBorder="1" applyAlignment="1">
      <alignment horizontal="center" vertical="center"/>
    </xf>
    <xf numFmtId="4" fontId="1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4" fontId="1" fillId="3" borderId="4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Medium9"/>
  <colors>
    <mruColors>
      <color rgb="FFDFE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87"/>
  <sheetViews>
    <sheetView workbookViewId="0">
      <selection sqref="A1:S38"/>
    </sheetView>
  </sheetViews>
  <sheetFormatPr defaultRowHeight="14.4" x14ac:dyDescent="0.3"/>
  <cols>
    <col min="1" max="1" width="9.6640625" customWidth="1"/>
    <col min="2" max="2" width="22.6640625" customWidth="1"/>
    <col min="3" max="3" width="10.44140625" customWidth="1"/>
    <col min="4" max="22" width="9.6640625" customWidth="1"/>
  </cols>
  <sheetData>
    <row r="2" spans="1:23" ht="18" x14ac:dyDescent="0.3">
      <c r="A2" s="2"/>
      <c r="B2" s="37" t="s">
        <v>0</v>
      </c>
      <c r="C2" s="3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1"/>
      <c r="W2" s="1"/>
    </row>
    <row r="3" spans="1:23" ht="15.6" x14ac:dyDescent="0.3">
      <c r="A3" s="2"/>
      <c r="B3" s="11" t="s">
        <v>1</v>
      </c>
      <c r="C3" s="7">
        <v>375000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4"/>
      <c r="V3" s="1"/>
      <c r="W3" s="1"/>
    </row>
    <row r="4" spans="1:23" ht="15.6" x14ac:dyDescent="0.3">
      <c r="A4" s="2"/>
      <c r="B4" s="12" t="s">
        <v>2</v>
      </c>
      <c r="C4" s="9">
        <v>0.15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4"/>
      <c r="V4" s="1"/>
      <c r="W4" s="1"/>
    </row>
    <row r="5" spans="1:23" ht="15.6" x14ac:dyDescent="0.3">
      <c r="A5" s="2"/>
      <c r="B5" s="12" t="s">
        <v>3</v>
      </c>
      <c r="C5" s="8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1"/>
      <c r="W5" s="1"/>
    </row>
    <row r="6" spans="1:23" ht="15.6" x14ac:dyDescent="0.3">
      <c r="A6" s="2"/>
      <c r="B6" s="14" t="s">
        <v>4</v>
      </c>
      <c r="C6" s="15">
        <v>0.28999999999999998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4"/>
      <c r="V6" s="1"/>
      <c r="W6" s="1"/>
    </row>
    <row r="7" spans="1:23" ht="31.2" x14ac:dyDescent="0.3">
      <c r="A7" s="2"/>
      <c r="B7" s="12" t="s">
        <v>5</v>
      </c>
      <c r="C7" s="9">
        <v>0.12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4"/>
      <c r="V7" s="1"/>
      <c r="W7" s="1"/>
    </row>
    <row r="8" spans="1:23" ht="15.6" x14ac:dyDescent="0.3">
      <c r="A8" s="2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4"/>
      <c r="V8" s="1"/>
      <c r="W8" s="1"/>
    </row>
    <row r="9" spans="1:23" ht="15.6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4"/>
      <c r="V9" s="1"/>
      <c r="W9" s="1"/>
    </row>
    <row r="10" spans="1:23" ht="15.6" x14ac:dyDescent="0.3">
      <c r="A10" s="2"/>
      <c r="B10" s="13" t="s">
        <v>6</v>
      </c>
      <c r="C10" s="8">
        <v>0</v>
      </c>
      <c r="D10" s="8">
        <v>1</v>
      </c>
      <c r="E10" s="8">
        <v>2</v>
      </c>
      <c r="F10" s="8">
        <v>3</v>
      </c>
      <c r="G10" s="8">
        <v>4</v>
      </c>
      <c r="H10" s="8">
        <v>5</v>
      </c>
      <c r="I10" s="8">
        <v>6</v>
      </c>
      <c r="J10" s="8">
        <v>7</v>
      </c>
      <c r="K10" s="8">
        <v>8</v>
      </c>
      <c r="L10" s="8">
        <v>9</v>
      </c>
      <c r="M10" s="8">
        <v>10</v>
      </c>
      <c r="N10" s="8">
        <v>11</v>
      </c>
      <c r="O10" s="8">
        <v>12</v>
      </c>
      <c r="P10" s="8">
        <v>13</v>
      </c>
      <c r="Q10" s="8">
        <v>14</v>
      </c>
      <c r="R10" s="8">
        <v>15</v>
      </c>
      <c r="S10" s="3"/>
      <c r="T10" s="3"/>
      <c r="U10" s="4"/>
      <c r="V10" s="1"/>
      <c r="W10" s="1"/>
    </row>
    <row r="11" spans="1:23" ht="15.6" x14ac:dyDescent="0.3">
      <c r="A11" s="2"/>
      <c r="B11" s="13" t="s">
        <v>7</v>
      </c>
      <c r="C11" s="8">
        <v>0</v>
      </c>
      <c r="D11" s="10">
        <v>800000</v>
      </c>
      <c r="E11" s="10">
        <v>800000</v>
      </c>
      <c r="F11" s="10">
        <v>800000</v>
      </c>
      <c r="G11" s="10">
        <v>800000</v>
      </c>
      <c r="H11" s="10">
        <v>800000</v>
      </c>
      <c r="I11" s="10">
        <v>800000</v>
      </c>
      <c r="J11" s="10">
        <v>800000</v>
      </c>
      <c r="K11" s="10">
        <v>800000</v>
      </c>
      <c r="L11" s="10">
        <v>800000</v>
      </c>
      <c r="M11" s="10">
        <v>800000</v>
      </c>
      <c r="N11" s="10">
        <v>800000</v>
      </c>
      <c r="O11" s="10">
        <v>800000</v>
      </c>
      <c r="P11" s="10">
        <v>800000</v>
      </c>
      <c r="Q11" s="10">
        <v>800000</v>
      </c>
      <c r="R11" s="10">
        <v>800000</v>
      </c>
      <c r="S11" s="3"/>
      <c r="T11" s="3"/>
      <c r="U11" s="4"/>
      <c r="V11" s="1"/>
      <c r="W11" s="1"/>
    </row>
    <row r="12" spans="1:23" ht="15.6" x14ac:dyDescent="0.3">
      <c r="A12" s="2"/>
      <c r="B12" s="13" t="s">
        <v>8</v>
      </c>
      <c r="C12" s="8">
        <v>0</v>
      </c>
      <c r="D12" s="10">
        <v>-530000</v>
      </c>
      <c r="E12" s="10">
        <v>-530000</v>
      </c>
      <c r="F12" s="10">
        <v>-530000</v>
      </c>
      <c r="G12" s="10">
        <v>-530000</v>
      </c>
      <c r="H12" s="10">
        <v>-530000</v>
      </c>
      <c r="I12" s="10">
        <v>-530000</v>
      </c>
      <c r="J12" s="10">
        <v>-530000</v>
      </c>
      <c r="K12" s="10">
        <v>-530000</v>
      </c>
      <c r="L12" s="10">
        <v>-530000</v>
      </c>
      <c r="M12" s="10">
        <v>-530000</v>
      </c>
      <c r="N12" s="10">
        <v>-530000</v>
      </c>
      <c r="O12" s="10">
        <v>-530000</v>
      </c>
      <c r="P12" s="10">
        <v>-530000</v>
      </c>
      <c r="Q12" s="10">
        <v>-530000</v>
      </c>
      <c r="R12" s="10">
        <v>-530000</v>
      </c>
      <c r="S12" s="3"/>
      <c r="T12" s="3"/>
      <c r="U12" s="4"/>
      <c r="V12" s="1"/>
      <c r="W12" s="1"/>
    </row>
    <row r="13" spans="1:23" ht="15.6" x14ac:dyDescent="0.3">
      <c r="A13" s="2"/>
      <c r="B13" s="13" t="s">
        <v>9</v>
      </c>
      <c r="C13" s="8">
        <v>0</v>
      </c>
      <c r="D13" s="8">
        <f t="shared" ref="D13:M13" si="0">-($C$3-$C$5)/$R$10</f>
        <v>-25000</v>
      </c>
      <c r="E13" s="8">
        <f t="shared" si="0"/>
        <v>-25000</v>
      </c>
      <c r="F13" s="8">
        <f t="shared" si="0"/>
        <v>-25000</v>
      </c>
      <c r="G13" s="8">
        <f t="shared" si="0"/>
        <v>-25000</v>
      </c>
      <c r="H13" s="8">
        <f t="shared" si="0"/>
        <v>-25000</v>
      </c>
      <c r="I13" s="8">
        <f t="shared" si="0"/>
        <v>-25000</v>
      </c>
      <c r="J13" s="8">
        <f t="shared" si="0"/>
        <v>-25000</v>
      </c>
      <c r="K13" s="8">
        <f t="shared" si="0"/>
        <v>-25000</v>
      </c>
      <c r="L13" s="8">
        <f t="shared" si="0"/>
        <v>-25000</v>
      </c>
      <c r="M13" s="8">
        <f t="shared" si="0"/>
        <v>-25000</v>
      </c>
      <c r="N13" s="8">
        <f t="shared" ref="N13:R13" si="1">-($C$3-$C$5)/$R$10</f>
        <v>-25000</v>
      </c>
      <c r="O13" s="8">
        <f t="shared" si="1"/>
        <v>-25000</v>
      </c>
      <c r="P13" s="8">
        <f t="shared" si="1"/>
        <v>-25000</v>
      </c>
      <c r="Q13" s="8">
        <f t="shared" si="1"/>
        <v>-25000</v>
      </c>
      <c r="R13" s="8">
        <f t="shared" si="1"/>
        <v>-25000</v>
      </c>
      <c r="S13" s="3"/>
      <c r="T13" s="3"/>
      <c r="U13" s="4"/>
      <c r="V13" s="1"/>
      <c r="W13" s="1"/>
    </row>
    <row r="14" spans="1:23" ht="31.2" x14ac:dyDescent="0.3">
      <c r="A14" s="2"/>
      <c r="B14" s="13" t="s">
        <v>10</v>
      </c>
      <c r="C14" s="8">
        <v>0</v>
      </c>
      <c r="D14" s="10">
        <f>D11+D12+D13</f>
        <v>245000</v>
      </c>
      <c r="E14" s="10">
        <f t="shared" ref="E14:R14" si="2">E11+E12+E13</f>
        <v>245000</v>
      </c>
      <c r="F14" s="10">
        <f t="shared" si="2"/>
        <v>245000</v>
      </c>
      <c r="G14" s="10">
        <f t="shared" si="2"/>
        <v>245000</v>
      </c>
      <c r="H14" s="10">
        <f t="shared" si="2"/>
        <v>245000</v>
      </c>
      <c r="I14" s="10">
        <f t="shared" si="2"/>
        <v>245000</v>
      </c>
      <c r="J14" s="10">
        <f t="shared" si="2"/>
        <v>245000</v>
      </c>
      <c r="K14" s="10">
        <f t="shared" si="2"/>
        <v>245000</v>
      </c>
      <c r="L14" s="10">
        <f t="shared" si="2"/>
        <v>245000</v>
      </c>
      <c r="M14" s="10">
        <f t="shared" si="2"/>
        <v>245000</v>
      </c>
      <c r="N14" s="10">
        <f t="shared" si="2"/>
        <v>245000</v>
      </c>
      <c r="O14" s="10">
        <f t="shared" si="2"/>
        <v>245000</v>
      </c>
      <c r="P14" s="10">
        <f t="shared" si="2"/>
        <v>245000</v>
      </c>
      <c r="Q14" s="10">
        <f t="shared" si="2"/>
        <v>245000</v>
      </c>
      <c r="R14" s="10">
        <f t="shared" si="2"/>
        <v>245000</v>
      </c>
      <c r="S14" s="3"/>
      <c r="T14" s="3"/>
      <c r="U14" s="4"/>
      <c r="V14" s="1"/>
      <c r="W14" s="1"/>
    </row>
    <row r="15" spans="1:23" ht="15.6" x14ac:dyDescent="0.3">
      <c r="A15" s="2"/>
      <c r="B15" s="13" t="s">
        <v>4</v>
      </c>
      <c r="C15" s="8">
        <v>0</v>
      </c>
      <c r="D15" s="10">
        <f>-D14*$C$6</f>
        <v>-71050</v>
      </c>
      <c r="E15" s="10">
        <f t="shared" ref="E15:R15" si="3">-E14*$C$6</f>
        <v>-71050</v>
      </c>
      <c r="F15" s="10">
        <f t="shared" si="3"/>
        <v>-71050</v>
      </c>
      <c r="G15" s="10">
        <f t="shared" si="3"/>
        <v>-71050</v>
      </c>
      <c r="H15" s="10">
        <f t="shared" si="3"/>
        <v>-71050</v>
      </c>
      <c r="I15" s="10">
        <f t="shared" si="3"/>
        <v>-71050</v>
      </c>
      <c r="J15" s="10">
        <f t="shared" si="3"/>
        <v>-71050</v>
      </c>
      <c r="K15" s="10">
        <f t="shared" si="3"/>
        <v>-71050</v>
      </c>
      <c r="L15" s="10">
        <f t="shared" si="3"/>
        <v>-71050</v>
      </c>
      <c r="M15" s="10">
        <f t="shared" si="3"/>
        <v>-71050</v>
      </c>
      <c r="N15" s="10">
        <f t="shared" si="3"/>
        <v>-71050</v>
      </c>
      <c r="O15" s="10">
        <f t="shared" si="3"/>
        <v>-71050</v>
      </c>
      <c r="P15" s="10">
        <f t="shared" si="3"/>
        <v>-71050</v>
      </c>
      <c r="Q15" s="10">
        <f t="shared" si="3"/>
        <v>-71050</v>
      </c>
      <c r="R15" s="10">
        <f t="shared" si="3"/>
        <v>-71050</v>
      </c>
      <c r="S15" s="3"/>
      <c r="T15" s="3"/>
      <c r="U15" s="4"/>
      <c r="V15" s="1"/>
      <c r="W15" s="1"/>
    </row>
    <row r="16" spans="1:23" ht="15.6" x14ac:dyDescent="0.3">
      <c r="A16" s="2"/>
      <c r="B16" s="13" t="s">
        <v>11</v>
      </c>
      <c r="C16" s="8">
        <v>0</v>
      </c>
      <c r="D16" s="10">
        <f>D14+D15</f>
        <v>173950</v>
      </c>
      <c r="E16" s="10">
        <f t="shared" ref="E16:R16" si="4">E14+E15</f>
        <v>173950</v>
      </c>
      <c r="F16" s="10">
        <f t="shared" si="4"/>
        <v>173950</v>
      </c>
      <c r="G16" s="10">
        <f t="shared" si="4"/>
        <v>173950</v>
      </c>
      <c r="H16" s="10">
        <f t="shared" si="4"/>
        <v>173950</v>
      </c>
      <c r="I16" s="10">
        <f t="shared" si="4"/>
        <v>173950</v>
      </c>
      <c r="J16" s="10">
        <f t="shared" si="4"/>
        <v>173950</v>
      </c>
      <c r="K16" s="10">
        <f t="shared" si="4"/>
        <v>173950</v>
      </c>
      <c r="L16" s="10">
        <f t="shared" si="4"/>
        <v>173950</v>
      </c>
      <c r="M16" s="10">
        <f t="shared" si="4"/>
        <v>173950</v>
      </c>
      <c r="N16" s="10">
        <f t="shared" si="4"/>
        <v>173950</v>
      </c>
      <c r="O16" s="10">
        <f t="shared" si="4"/>
        <v>173950</v>
      </c>
      <c r="P16" s="10">
        <f t="shared" si="4"/>
        <v>173950</v>
      </c>
      <c r="Q16" s="10">
        <f t="shared" si="4"/>
        <v>173950</v>
      </c>
      <c r="R16" s="10">
        <f t="shared" si="4"/>
        <v>173950</v>
      </c>
      <c r="S16" s="3"/>
      <c r="T16" s="3"/>
      <c r="U16" s="4"/>
      <c r="V16" s="1"/>
      <c r="W16" s="1"/>
    </row>
    <row r="17" spans="1:23" ht="15.6" x14ac:dyDescent="0.3">
      <c r="A17" s="2"/>
      <c r="B17" s="13" t="s">
        <v>12</v>
      </c>
      <c r="C17" s="12">
        <f>D16/(1+0.12)^D10+E16/(1+0.12)^E10+F16/(1+0.12)^F10+G16/(1+0.12)^G10+H16/(1+0.12)^H10+I16/(1+0.12)^I10+J16/(1+0.12)^J10+K16/(1+0.12)^K10+L16/(1+0.12)^L10+M16/(1+0.12)^M10+N16/(1+0.12)^N10+O16/(1+0.12)^O10+P16/(1+0.12)^P10+Q16/(1+0.12)^Q10+R16/(1+0.12)^R10-C3</f>
        <v>809749.87794243731</v>
      </c>
      <c r="D17" s="3"/>
      <c r="E17" s="3"/>
      <c r="F17" s="4"/>
      <c r="G17" s="1"/>
      <c r="H17" s="1"/>
    </row>
    <row r="18" spans="1:23" ht="15.6" x14ac:dyDescent="0.3">
      <c r="A18" s="2"/>
      <c r="B18" s="3"/>
      <c r="C18" s="3"/>
      <c r="D18" s="4"/>
      <c r="E18" s="1"/>
      <c r="F18" s="1"/>
    </row>
    <row r="19" spans="1:23" ht="15.6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4"/>
      <c r="V19" s="1"/>
      <c r="W19" s="1"/>
    </row>
    <row r="20" spans="1:23" ht="15.6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4"/>
      <c r="V20" s="1"/>
      <c r="W20" s="1"/>
    </row>
    <row r="21" spans="1:23" ht="15.6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4"/>
      <c r="V21" s="1"/>
      <c r="W21" s="1"/>
    </row>
    <row r="22" spans="1:23" ht="15.6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4"/>
      <c r="V22" s="1"/>
      <c r="W22" s="1"/>
    </row>
    <row r="23" spans="1:23" ht="18" x14ac:dyDescent="0.3">
      <c r="A23" s="2"/>
      <c r="B23" s="37" t="s">
        <v>13</v>
      </c>
      <c r="C23" s="3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4"/>
      <c r="V23" s="1"/>
      <c r="W23" s="1"/>
    </row>
    <row r="24" spans="1:23" ht="15.6" x14ac:dyDescent="0.3">
      <c r="A24" s="2"/>
      <c r="B24" s="11" t="s">
        <v>14</v>
      </c>
      <c r="C24" s="7">
        <v>500000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4"/>
      <c r="V24" s="1"/>
      <c r="W24" s="1"/>
    </row>
    <row r="25" spans="1:23" ht="15.6" x14ac:dyDescent="0.3">
      <c r="A25" s="2"/>
      <c r="B25" s="12" t="s">
        <v>2</v>
      </c>
      <c r="C25" s="9">
        <v>0.15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4"/>
      <c r="V25" s="1"/>
      <c r="W25" s="1"/>
    </row>
    <row r="26" spans="1:23" ht="15.6" x14ac:dyDescent="0.3">
      <c r="A26" s="2"/>
      <c r="B26" s="12" t="s">
        <v>3</v>
      </c>
      <c r="C26" s="8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4"/>
      <c r="V26" s="1"/>
      <c r="W26" s="1"/>
    </row>
    <row r="27" spans="1:23" ht="15.6" x14ac:dyDescent="0.3">
      <c r="A27" s="2"/>
      <c r="B27" s="14" t="s">
        <v>4</v>
      </c>
      <c r="C27" s="15">
        <v>0.28999999999999998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4"/>
      <c r="V27" s="1"/>
      <c r="W27" s="1"/>
    </row>
    <row r="28" spans="1:23" ht="31.2" x14ac:dyDescent="0.3">
      <c r="A28" s="2"/>
      <c r="B28" s="12" t="s">
        <v>5</v>
      </c>
      <c r="C28" s="9">
        <v>0.12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4"/>
      <c r="V28" s="1"/>
      <c r="W28" s="1"/>
    </row>
    <row r="29" spans="1:23" ht="15.6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4"/>
      <c r="V29" s="1"/>
      <c r="W29" s="1"/>
    </row>
    <row r="30" spans="1:23" ht="15.6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4"/>
      <c r="V30" s="1"/>
      <c r="W30" s="1"/>
    </row>
    <row r="31" spans="1:23" ht="15.6" x14ac:dyDescent="0.3">
      <c r="A31" s="2"/>
      <c r="B31" s="13" t="s">
        <v>6</v>
      </c>
      <c r="C31" s="8">
        <v>0</v>
      </c>
      <c r="D31" s="8">
        <v>1</v>
      </c>
      <c r="E31" s="8">
        <v>2</v>
      </c>
      <c r="F31" s="8">
        <v>3</v>
      </c>
      <c r="G31" s="8">
        <v>4</v>
      </c>
      <c r="H31" s="8">
        <v>5</v>
      </c>
      <c r="I31" s="8">
        <v>6</v>
      </c>
      <c r="J31" s="8">
        <v>7</v>
      </c>
      <c r="K31" s="8">
        <v>8</v>
      </c>
      <c r="L31" s="8">
        <v>9</v>
      </c>
      <c r="M31" s="8">
        <v>10</v>
      </c>
      <c r="N31" s="3"/>
      <c r="O31" s="3"/>
      <c r="P31" s="4"/>
      <c r="Q31" s="1"/>
      <c r="R31" s="1"/>
    </row>
    <row r="32" spans="1:23" ht="15.6" x14ac:dyDescent="0.3">
      <c r="A32" s="2"/>
      <c r="B32" s="13" t="s">
        <v>7</v>
      </c>
      <c r="C32" s="8">
        <v>0</v>
      </c>
      <c r="D32" s="10">
        <f>D11*$C$25+D11</f>
        <v>920000</v>
      </c>
      <c r="E32" s="10">
        <f t="shared" ref="E32:M32" si="5">E11*$C$25+E11</f>
        <v>920000</v>
      </c>
      <c r="F32" s="10">
        <f t="shared" si="5"/>
        <v>920000</v>
      </c>
      <c r="G32" s="10">
        <f t="shared" si="5"/>
        <v>920000</v>
      </c>
      <c r="H32" s="10">
        <f t="shared" si="5"/>
        <v>920000</v>
      </c>
      <c r="I32" s="10">
        <f t="shared" si="5"/>
        <v>920000</v>
      </c>
      <c r="J32" s="10">
        <f t="shared" si="5"/>
        <v>920000</v>
      </c>
      <c r="K32" s="10">
        <f t="shared" si="5"/>
        <v>920000</v>
      </c>
      <c r="L32" s="10">
        <f t="shared" si="5"/>
        <v>920000</v>
      </c>
      <c r="M32" s="10">
        <f t="shared" si="5"/>
        <v>920000</v>
      </c>
      <c r="N32" s="3"/>
      <c r="O32" s="3"/>
      <c r="P32" s="4"/>
      <c r="Q32" s="1"/>
      <c r="R32" s="1"/>
    </row>
    <row r="33" spans="1:23" ht="15.6" x14ac:dyDescent="0.3">
      <c r="A33" s="2"/>
      <c r="B33" s="13" t="s">
        <v>8</v>
      </c>
      <c r="C33" s="8">
        <v>0</v>
      </c>
      <c r="D33" s="10">
        <v>-510000</v>
      </c>
      <c r="E33" s="10">
        <v>-510000</v>
      </c>
      <c r="F33" s="10">
        <v>-510000</v>
      </c>
      <c r="G33" s="10">
        <v>-510000</v>
      </c>
      <c r="H33" s="10">
        <v>-510000</v>
      </c>
      <c r="I33" s="10">
        <v>-510000</v>
      </c>
      <c r="J33" s="10">
        <v>-510000</v>
      </c>
      <c r="K33" s="10">
        <v>-510000</v>
      </c>
      <c r="L33" s="10">
        <v>-510000</v>
      </c>
      <c r="M33" s="10">
        <v>-510000</v>
      </c>
      <c r="N33" s="3"/>
      <c r="O33" s="3"/>
      <c r="P33" s="4"/>
      <c r="Q33" s="1"/>
      <c r="R33" s="1"/>
    </row>
    <row r="34" spans="1:23" ht="15.6" x14ac:dyDescent="0.3">
      <c r="A34" s="2"/>
      <c r="B34" s="13" t="s">
        <v>9</v>
      </c>
      <c r="C34" s="8">
        <v>0</v>
      </c>
      <c r="D34" s="8">
        <f>-($C$24-$C$26)/$M$31</f>
        <v>-50000</v>
      </c>
      <c r="E34" s="8">
        <f t="shared" ref="E34:M34" si="6">-($C$24-$C$26)/$M$31</f>
        <v>-50000</v>
      </c>
      <c r="F34" s="8">
        <f t="shared" si="6"/>
        <v>-50000</v>
      </c>
      <c r="G34" s="8">
        <f t="shared" si="6"/>
        <v>-50000</v>
      </c>
      <c r="H34" s="8">
        <f t="shared" si="6"/>
        <v>-50000</v>
      </c>
      <c r="I34" s="8">
        <f t="shared" si="6"/>
        <v>-50000</v>
      </c>
      <c r="J34" s="8">
        <f t="shared" si="6"/>
        <v>-50000</v>
      </c>
      <c r="K34" s="8">
        <f t="shared" si="6"/>
        <v>-50000</v>
      </c>
      <c r="L34" s="8">
        <f t="shared" si="6"/>
        <v>-50000</v>
      </c>
      <c r="M34" s="8">
        <f t="shared" si="6"/>
        <v>-50000</v>
      </c>
      <c r="N34" s="3"/>
      <c r="O34" s="3"/>
      <c r="P34" s="4"/>
      <c r="Q34" s="1"/>
      <c r="R34" s="1"/>
    </row>
    <row r="35" spans="1:23" ht="31.2" x14ac:dyDescent="0.3">
      <c r="A35" s="2"/>
      <c r="B35" s="13" t="s">
        <v>10</v>
      </c>
      <c r="C35" s="8">
        <v>0</v>
      </c>
      <c r="D35" s="10">
        <f>D32+D33+D34</f>
        <v>360000</v>
      </c>
      <c r="E35" s="10">
        <f t="shared" ref="E35:M35" si="7">E32+E33+E34</f>
        <v>360000</v>
      </c>
      <c r="F35" s="10">
        <f t="shared" si="7"/>
        <v>360000</v>
      </c>
      <c r="G35" s="10">
        <f t="shared" si="7"/>
        <v>360000</v>
      </c>
      <c r="H35" s="10">
        <f t="shared" si="7"/>
        <v>360000</v>
      </c>
      <c r="I35" s="10">
        <f t="shared" si="7"/>
        <v>360000</v>
      </c>
      <c r="J35" s="10">
        <f t="shared" si="7"/>
        <v>360000</v>
      </c>
      <c r="K35" s="10">
        <f t="shared" si="7"/>
        <v>360000</v>
      </c>
      <c r="L35" s="10">
        <f t="shared" si="7"/>
        <v>360000</v>
      </c>
      <c r="M35" s="10">
        <f t="shared" si="7"/>
        <v>360000</v>
      </c>
      <c r="N35" s="3"/>
      <c r="O35" s="3"/>
      <c r="P35" s="4"/>
      <c r="Q35" s="1"/>
      <c r="R35" s="1"/>
    </row>
    <row r="36" spans="1:23" ht="15.6" x14ac:dyDescent="0.3">
      <c r="A36" s="2"/>
      <c r="B36" s="13" t="s">
        <v>4</v>
      </c>
      <c r="C36" s="8">
        <v>0</v>
      </c>
      <c r="D36" s="10">
        <f>-D35*$C$27</f>
        <v>-104400</v>
      </c>
      <c r="E36" s="10">
        <f t="shared" ref="E36:M36" si="8">-E35*$C$27</f>
        <v>-104400</v>
      </c>
      <c r="F36" s="10">
        <f t="shared" si="8"/>
        <v>-104400</v>
      </c>
      <c r="G36" s="10">
        <f t="shared" si="8"/>
        <v>-104400</v>
      </c>
      <c r="H36" s="10">
        <f t="shared" si="8"/>
        <v>-104400</v>
      </c>
      <c r="I36" s="10">
        <f t="shared" si="8"/>
        <v>-104400</v>
      </c>
      <c r="J36" s="10">
        <f t="shared" si="8"/>
        <v>-104400</v>
      </c>
      <c r="K36" s="10">
        <f t="shared" si="8"/>
        <v>-104400</v>
      </c>
      <c r="L36" s="10">
        <f t="shared" si="8"/>
        <v>-104400</v>
      </c>
      <c r="M36" s="10">
        <f t="shared" si="8"/>
        <v>-104400</v>
      </c>
      <c r="N36" s="3"/>
      <c r="O36" s="3"/>
      <c r="P36" s="4"/>
      <c r="Q36" s="1"/>
      <c r="R36" s="1"/>
    </row>
    <row r="37" spans="1:23" ht="15.6" x14ac:dyDescent="0.3">
      <c r="A37" s="2"/>
      <c r="B37" s="13" t="s">
        <v>11</v>
      </c>
      <c r="C37" s="8">
        <v>0</v>
      </c>
      <c r="D37" s="10">
        <f>D35+D36</f>
        <v>255600</v>
      </c>
      <c r="E37" s="10">
        <f t="shared" ref="E37:M37" si="9">E35+E36</f>
        <v>255600</v>
      </c>
      <c r="F37" s="10">
        <f t="shared" si="9"/>
        <v>255600</v>
      </c>
      <c r="G37" s="10">
        <f t="shared" si="9"/>
        <v>255600</v>
      </c>
      <c r="H37" s="10">
        <f t="shared" si="9"/>
        <v>255600</v>
      </c>
      <c r="I37" s="10">
        <f t="shared" si="9"/>
        <v>255600</v>
      </c>
      <c r="J37" s="10">
        <f t="shared" si="9"/>
        <v>255600</v>
      </c>
      <c r="K37" s="10">
        <f t="shared" si="9"/>
        <v>255600</v>
      </c>
      <c r="L37" s="10">
        <f t="shared" si="9"/>
        <v>255600</v>
      </c>
      <c r="M37" s="10">
        <f t="shared" si="9"/>
        <v>255600</v>
      </c>
      <c r="N37" s="3"/>
      <c r="O37" s="3"/>
      <c r="P37" s="4"/>
      <c r="Q37" s="1"/>
      <c r="R37" s="1"/>
    </row>
    <row r="38" spans="1:23" ht="15.6" x14ac:dyDescent="0.3">
      <c r="A38" s="2"/>
      <c r="B38" s="13" t="s">
        <v>15</v>
      </c>
      <c r="C38" s="16">
        <f>D37/(1+0.12)^D31+E37/(1+0.12)^E31+F37/(1+0.12)^F31+G37/(1+0.12)^G31+H37/(1+0.12)^H31+I37/(1+0.12)^I31+J37/(1+0.12)^J31+K37/(1+0.12)^K31+L37/(1+0.12)^L31+M37/(1+0.12)^M31-C24</f>
        <v>944197.00606181682</v>
      </c>
      <c r="D38" s="3"/>
      <c r="E38" s="3"/>
      <c r="F38" s="4"/>
      <c r="G38" s="1"/>
      <c r="H38" s="1"/>
    </row>
    <row r="39" spans="1:23" ht="15.6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4"/>
      <c r="V39" s="1"/>
      <c r="W39" s="1"/>
    </row>
    <row r="40" spans="1:23" ht="15.6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4"/>
      <c r="V40" s="1"/>
      <c r="W40" s="1"/>
    </row>
    <row r="41" spans="1:23" ht="15.6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4"/>
      <c r="V41" s="1"/>
      <c r="W41" s="1"/>
    </row>
    <row r="42" spans="1:23" ht="15.6" x14ac:dyDescent="0.3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4"/>
      <c r="V42" s="1"/>
      <c r="W42" s="1"/>
    </row>
    <row r="43" spans="1:23" ht="15.6" x14ac:dyDescent="0.3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4"/>
      <c r="V43" s="1"/>
      <c r="W43" s="1"/>
    </row>
    <row r="44" spans="1:23" ht="15.6" x14ac:dyDescent="0.3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4"/>
      <c r="V44" s="1"/>
      <c r="W44" s="1"/>
    </row>
    <row r="45" spans="1:23" ht="15.6" x14ac:dyDescent="0.3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4"/>
      <c r="V45" s="1"/>
      <c r="W45" s="1"/>
    </row>
    <row r="46" spans="1:23" ht="15.6" x14ac:dyDescent="0.3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4"/>
      <c r="V46" s="1"/>
      <c r="W46" s="1"/>
    </row>
    <row r="47" spans="1:23" ht="15.6" x14ac:dyDescent="0.3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4"/>
      <c r="V47" s="1"/>
      <c r="W47" s="1"/>
    </row>
    <row r="48" spans="1:23" ht="15.6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4"/>
      <c r="V48" s="1"/>
      <c r="W48" s="1"/>
    </row>
    <row r="49" spans="1:23" ht="15.6" x14ac:dyDescent="0.3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4"/>
      <c r="V49" s="1"/>
      <c r="W49" s="1"/>
    </row>
    <row r="50" spans="1:23" ht="15.6" x14ac:dyDescent="0.3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4"/>
      <c r="V50" s="1"/>
      <c r="W50" s="1"/>
    </row>
    <row r="51" spans="1:23" ht="15.6" x14ac:dyDescent="0.3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4"/>
      <c r="V51" s="1"/>
      <c r="W51" s="1"/>
    </row>
    <row r="52" spans="1:23" ht="15.6" x14ac:dyDescent="0.3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4"/>
      <c r="V52" s="1"/>
      <c r="W52" s="1"/>
    </row>
    <row r="53" spans="1:23" ht="15.6" x14ac:dyDescent="0.3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4"/>
      <c r="V53" s="1"/>
      <c r="W53" s="1"/>
    </row>
    <row r="54" spans="1:23" ht="15.6" x14ac:dyDescent="0.3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4"/>
      <c r="V54" s="1"/>
      <c r="W54" s="1"/>
    </row>
    <row r="55" spans="1:23" ht="15.6" x14ac:dyDescent="0.3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4"/>
      <c r="V55" s="1"/>
      <c r="W55" s="1"/>
    </row>
    <row r="56" spans="1:23" ht="15.6" x14ac:dyDescent="0.3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4"/>
      <c r="V56" s="1"/>
      <c r="W56" s="1"/>
    </row>
    <row r="57" spans="1:23" ht="15.6" x14ac:dyDescent="0.3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4"/>
      <c r="V57" s="1"/>
      <c r="W57" s="1"/>
    </row>
    <row r="58" spans="1:23" ht="15.6" x14ac:dyDescent="0.3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4"/>
      <c r="V58" s="1"/>
      <c r="W58" s="1"/>
    </row>
    <row r="59" spans="1:23" ht="15.6" x14ac:dyDescent="0.3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4"/>
      <c r="V59" s="1"/>
      <c r="W59" s="1"/>
    </row>
    <row r="60" spans="1:23" ht="15.6" x14ac:dyDescent="0.3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4"/>
      <c r="V60" s="1"/>
      <c r="W60" s="1"/>
    </row>
    <row r="61" spans="1:23" ht="15.6" x14ac:dyDescent="0.3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4"/>
      <c r="V61" s="1"/>
      <c r="W61" s="1"/>
    </row>
    <row r="62" spans="1:23" ht="15.6" x14ac:dyDescent="0.3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4"/>
      <c r="V62" s="1"/>
      <c r="W62" s="1"/>
    </row>
    <row r="63" spans="1:23" ht="15.6" x14ac:dyDescent="0.3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4"/>
      <c r="V63" s="1"/>
      <c r="W63" s="1"/>
    </row>
    <row r="64" spans="1:23" ht="15.6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4"/>
      <c r="V64" s="1"/>
      <c r="W64" s="1"/>
    </row>
    <row r="65" spans="1:23" ht="15.6" x14ac:dyDescent="0.3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4"/>
      <c r="V65" s="1"/>
      <c r="W65" s="1"/>
    </row>
    <row r="66" spans="1:23" ht="15.6" x14ac:dyDescent="0.3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4"/>
      <c r="V66" s="1"/>
      <c r="W66" s="1"/>
    </row>
    <row r="67" spans="1:23" ht="15.6" x14ac:dyDescent="0.3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4"/>
      <c r="V67" s="1"/>
      <c r="W67" s="1"/>
    </row>
    <row r="68" spans="1:23" ht="15.6" x14ac:dyDescent="0.3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4"/>
      <c r="V68" s="1"/>
      <c r="W68" s="1"/>
    </row>
    <row r="69" spans="1:23" ht="15.6" x14ac:dyDescent="0.3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4"/>
      <c r="V69" s="1"/>
      <c r="W69" s="1"/>
    </row>
    <row r="70" spans="1:23" ht="15.6" x14ac:dyDescent="0.3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4"/>
      <c r="V70" s="1"/>
      <c r="W70" s="1"/>
    </row>
    <row r="71" spans="1:23" ht="15.6" x14ac:dyDescent="0.3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4"/>
      <c r="V71" s="1"/>
      <c r="W71" s="1"/>
    </row>
    <row r="72" spans="1:23" ht="15.6" x14ac:dyDescent="0.3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4"/>
      <c r="V72" s="1"/>
      <c r="W72" s="1"/>
    </row>
    <row r="73" spans="1:23" ht="15.6" x14ac:dyDescent="0.3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4"/>
      <c r="V73" s="1"/>
      <c r="W73" s="1"/>
    </row>
    <row r="74" spans="1:23" ht="15.6" x14ac:dyDescent="0.3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4"/>
      <c r="V74" s="1"/>
      <c r="W74" s="1"/>
    </row>
    <row r="75" spans="1:23" ht="15.6" x14ac:dyDescent="0.3">
      <c r="A75" s="5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1"/>
      <c r="W75" s="1"/>
    </row>
    <row r="76" spans="1:23" ht="15.6" x14ac:dyDescent="0.3">
      <c r="A76" s="5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1"/>
      <c r="W76" s="1"/>
    </row>
    <row r="77" spans="1:23" ht="15.6" x14ac:dyDescent="0.3">
      <c r="A77" s="5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1"/>
      <c r="W77" s="1"/>
    </row>
    <row r="78" spans="1:23" ht="15.6" x14ac:dyDescent="0.3">
      <c r="A78" s="5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1"/>
      <c r="W78" s="1"/>
    </row>
    <row r="79" spans="1:23" ht="15.6" x14ac:dyDescent="0.3">
      <c r="A79" s="5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1"/>
      <c r="W79" s="1"/>
    </row>
    <row r="80" spans="1:23" ht="15.6" x14ac:dyDescent="0.3">
      <c r="A80" s="5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1"/>
      <c r="W80" s="1"/>
    </row>
    <row r="81" spans="1:23" ht="15.6" x14ac:dyDescent="0.3">
      <c r="A81" s="5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1"/>
      <c r="W81" s="1"/>
    </row>
    <row r="82" spans="1:23" ht="15.6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3" ht="15.6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3" ht="15.6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3" ht="15.6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3" ht="15.6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3" ht="15.6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</sheetData>
  <mergeCells count="2">
    <mergeCell ref="B2:C2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D4E5-DD66-4437-B368-1AED891CE3A0}">
  <dimension ref="A1:BH82"/>
  <sheetViews>
    <sheetView tabSelected="1" topLeftCell="A28" workbookViewId="0">
      <selection activeCell="B2" sqref="B2:G48"/>
    </sheetView>
  </sheetViews>
  <sheetFormatPr defaultRowHeight="14.4" x14ac:dyDescent="0.3"/>
  <cols>
    <col min="2" max="2" width="43.33203125" customWidth="1"/>
    <col min="3" max="3" width="21" customWidth="1"/>
    <col min="4" max="4" width="15.44140625" customWidth="1"/>
    <col min="5" max="5" width="17.6640625" customWidth="1"/>
    <col min="6" max="6" width="26.109375" customWidth="1"/>
    <col min="7" max="7" width="12.6640625" customWidth="1"/>
  </cols>
  <sheetData>
    <row r="1" spans="2:45" ht="15.6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spans="2:45" ht="15.6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2:45" ht="15.6" x14ac:dyDescent="0.3">
      <c r="B3" s="4"/>
      <c r="C3" s="40" t="s">
        <v>16</v>
      </c>
      <c r="D3" s="40"/>
      <c r="E3" s="40" t="s">
        <v>17</v>
      </c>
      <c r="F3" s="40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2:45" ht="15.6" x14ac:dyDescent="0.3">
      <c r="B4" s="4"/>
      <c r="C4" s="18" t="s">
        <v>18</v>
      </c>
      <c r="D4" s="18" t="s">
        <v>19</v>
      </c>
      <c r="E4" s="18" t="s">
        <v>18</v>
      </c>
      <c r="F4" s="18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2:45" ht="15.6" x14ac:dyDescent="0.3">
      <c r="B5" s="17" t="s">
        <v>20</v>
      </c>
      <c r="C5" s="19">
        <v>20000</v>
      </c>
      <c r="D5" s="20">
        <v>16000</v>
      </c>
      <c r="E5" s="20">
        <v>23000</v>
      </c>
      <c r="F5" s="20">
        <v>19000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2:45" ht="15.6" x14ac:dyDescent="0.3">
      <c r="B6" s="17" t="s">
        <v>21</v>
      </c>
      <c r="C6" s="21">
        <v>0.9</v>
      </c>
      <c r="D6" s="22">
        <v>1.2</v>
      </c>
      <c r="E6" s="22">
        <v>1</v>
      </c>
      <c r="F6" s="22">
        <v>1.3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2:45" ht="15.6" x14ac:dyDescent="0.3">
      <c r="B7" s="17" t="s">
        <v>22</v>
      </c>
      <c r="C7" s="21">
        <v>2</v>
      </c>
      <c r="D7" s="22">
        <v>2.5</v>
      </c>
      <c r="E7" s="22">
        <v>2</v>
      </c>
      <c r="F7" s="22">
        <v>2.7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2:45" ht="15.6" x14ac:dyDescent="0.3">
      <c r="B8" s="17" t="s">
        <v>23</v>
      </c>
      <c r="C8" s="19">
        <v>2500</v>
      </c>
      <c r="D8" s="20">
        <v>1800</v>
      </c>
      <c r="E8" s="20">
        <v>2700</v>
      </c>
      <c r="F8" s="20">
        <v>1500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2:45" ht="15.6" x14ac:dyDescent="0.3">
      <c r="B9" s="17" t="s">
        <v>24</v>
      </c>
      <c r="C9" s="19">
        <v>13000</v>
      </c>
      <c r="D9" s="20">
        <v>13000</v>
      </c>
      <c r="E9" s="20">
        <v>14000</v>
      </c>
      <c r="F9" s="20">
        <v>14000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2:45" ht="15.6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2:45" ht="15.6" x14ac:dyDescent="0.3">
      <c r="B11" s="17" t="s">
        <v>25</v>
      </c>
      <c r="C11" s="20">
        <v>64000</v>
      </c>
      <c r="D11" s="4"/>
      <c r="E11" s="4"/>
      <c r="F11" s="18" t="s">
        <v>18</v>
      </c>
      <c r="G11" s="18" t="s">
        <v>19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2:45" ht="15.6" x14ac:dyDescent="0.3">
      <c r="B12" s="17" t="s">
        <v>4</v>
      </c>
      <c r="C12" s="23">
        <v>0.25</v>
      </c>
      <c r="D12" s="4"/>
      <c r="E12" s="17" t="s">
        <v>26</v>
      </c>
      <c r="F12" s="25">
        <v>0.55000000000000004</v>
      </c>
      <c r="G12" s="25">
        <v>0.45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2:45" ht="15.6" x14ac:dyDescent="0.3">
      <c r="B13" s="17" t="s">
        <v>27</v>
      </c>
      <c r="C13" s="24">
        <v>0.08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2:45" ht="15.6" x14ac:dyDescent="0.3">
      <c r="B14" s="17" t="s">
        <v>28</v>
      </c>
      <c r="C14" s="22">
        <v>2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2:45" ht="15.6" x14ac:dyDescent="0.3">
      <c r="B15" s="17" t="s">
        <v>29</v>
      </c>
      <c r="C15" s="22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2:45" ht="15.6" x14ac:dyDescent="0.3">
      <c r="B16" s="17" t="s">
        <v>30</v>
      </c>
      <c r="C16" s="22">
        <v>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2:45" ht="15.6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2:45" ht="15.6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2:45" ht="15.6" x14ac:dyDescent="0.3">
      <c r="B19" s="17" t="s">
        <v>31</v>
      </c>
      <c r="C19" s="26">
        <f>PMT(C13,C14,C11)</f>
        <v>-35889.230769230773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2:45" ht="15.6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2:45" ht="15.6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2:45" ht="15.6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2:45" ht="15.6" x14ac:dyDescent="0.3">
      <c r="B23" s="4"/>
      <c r="C23" s="41" t="s">
        <v>32</v>
      </c>
      <c r="D23" s="41"/>
      <c r="E23" s="41"/>
      <c r="F23" s="41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2:45" ht="15.6" x14ac:dyDescent="0.3">
      <c r="B24" s="27" t="s">
        <v>33</v>
      </c>
      <c r="C24" s="28" t="s">
        <v>31</v>
      </c>
      <c r="D24" s="27" t="s">
        <v>34</v>
      </c>
      <c r="E24" s="27" t="s">
        <v>35</v>
      </c>
      <c r="F24" s="27" t="s">
        <v>36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2:45" ht="15.6" x14ac:dyDescent="0.3">
      <c r="B25" s="22">
        <v>1</v>
      </c>
      <c r="C25" s="29">
        <v>35889.230000000003</v>
      </c>
      <c r="D25" s="22">
        <f>C11*C13</f>
        <v>5120</v>
      </c>
      <c r="E25" s="20">
        <f>C11+D25</f>
        <v>69120</v>
      </c>
      <c r="F25" s="30">
        <f>E25-C25</f>
        <v>33230.769999999997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2:45" ht="15.6" x14ac:dyDescent="0.3">
      <c r="B26" s="22">
        <v>2</v>
      </c>
      <c r="C26" s="29">
        <v>35889.230000000003</v>
      </c>
      <c r="D26" s="33">
        <f>F25*C13</f>
        <v>2658.4615999999996</v>
      </c>
      <c r="E26" s="30">
        <f>F25+D26</f>
        <v>35889.231599999999</v>
      </c>
      <c r="F26" s="22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2:45" ht="15.6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2:45" ht="15.6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2:45" ht="15.6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2:45" ht="15.6" x14ac:dyDescent="0.3">
      <c r="B30" s="27" t="s">
        <v>33</v>
      </c>
      <c r="C30" s="22">
        <v>0</v>
      </c>
      <c r="D30" s="38">
        <v>1</v>
      </c>
      <c r="E30" s="39"/>
      <c r="F30" s="38">
        <v>2</v>
      </c>
      <c r="G30" s="39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2:45" ht="15.6" x14ac:dyDescent="0.3">
      <c r="B31" s="27" t="s">
        <v>37</v>
      </c>
      <c r="C31" s="22" t="s">
        <v>38</v>
      </c>
      <c r="D31" s="22" t="s">
        <v>39</v>
      </c>
      <c r="E31" s="22" t="s">
        <v>40</v>
      </c>
      <c r="F31" s="31" t="s">
        <v>39</v>
      </c>
      <c r="G31" s="22" t="s">
        <v>40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2:45" ht="15.6" x14ac:dyDescent="0.3">
      <c r="B32" s="27" t="s">
        <v>20</v>
      </c>
      <c r="C32" s="22">
        <v>0</v>
      </c>
      <c r="D32" s="20">
        <f>C5*C7</f>
        <v>40000</v>
      </c>
      <c r="E32" s="20">
        <f>D5*D7</f>
        <v>40000</v>
      </c>
      <c r="F32" s="32">
        <f>E5*E7</f>
        <v>46000</v>
      </c>
      <c r="G32" s="22">
        <f>F5*F7</f>
        <v>51300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60" ht="15.6" x14ac:dyDescent="0.3">
      <c r="B33" s="27" t="s">
        <v>41</v>
      </c>
      <c r="C33" s="22">
        <v>0</v>
      </c>
      <c r="D33" s="22">
        <f>C5*C6</f>
        <v>18000</v>
      </c>
      <c r="E33" s="22">
        <f>D5*D6</f>
        <v>19200</v>
      </c>
      <c r="F33" s="31">
        <f>E5*E6</f>
        <v>23000</v>
      </c>
      <c r="G33" s="22">
        <f>F5*F6</f>
        <v>24700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  <row r="34" spans="1:60" ht="15.6" x14ac:dyDescent="0.3">
      <c r="B34" s="27" t="s">
        <v>23</v>
      </c>
      <c r="C34" s="22">
        <v>0</v>
      </c>
      <c r="D34" s="20">
        <v>2500</v>
      </c>
      <c r="E34" s="20">
        <v>1800</v>
      </c>
      <c r="F34" s="32">
        <v>2700</v>
      </c>
      <c r="G34" s="20">
        <v>1500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spans="1:60" ht="15.6" x14ac:dyDescent="0.3">
      <c r="B35" s="27" t="s">
        <v>42</v>
      </c>
      <c r="C35" s="22">
        <v>0</v>
      </c>
      <c r="D35" s="22">
        <v>0</v>
      </c>
      <c r="E35" s="22">
        <v>0</v>
      </c>
      <c r="F35" s="32">
        <v>4000</v>
      </c>
      <c r="G35" s="20">
        <v>4000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</row>
    <row r="36" spans="1:60" ht="15.6" x14ac:dyDescent="0.3">
      <c r="B36" s="27" t="s">
        <v>43</v>
      </c>
      <c r="C36" s="22">
        <v>0</v>
      </c>
      <c r="D36" s="20">
        <f>D33+D34+D35</f>
        <v>20500</v>
      </c>
      <c r="E36" s="20">
        <f>E33+E34+E35</f>
        <v>21000</v>
      </c>
      <c r="F36" s="32">
        <f>F33+F34+F35</f>
        <v>29700</v>
      </c>
      <c r="G36" s="20">
        <f>G33+G34+G35</f>
        <v>30200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</row>
    <row r="37" spans="1:60" ht="15.6" x14ac:dyDescent="0.3">
      <c r="B37" s="27" t="s">
        <v>9</v>
      </c>
      <c r="C37" s="22">
        <v>0</v>
      </c>
      <c r="D37" s="22">
        <f>($C$11-$C$15)/$C$16</f>
        <v>12800</v>
      </c>
      <c r="E37" s="22">
        <f t="shared" ref="E37:G37" si="0">($C$11-$C$15)/$C$16</f>
        <v>12800</v>
      </c>
      <c r="F37" s="22">
        <f t="shared" si="0"/>
        <v>12800</v>
      </c>
      <c r="G37" s="22">
        <f t="shared" si="0"/>
        <v>12800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</row>
    <row r="38" spans="1:60" ht="15.6" x14ac:dyDescent="0.3">
      <c r="B38" s="27" t="s">
        <v>34</v>
      </c>
      <c r="C38" s="22">
        <v>0</v>
      </c>
      <c r="D38" s="22">
        <f>D25</f>
        <v>5120</v>
      </c>
      <c r="E38" s="22">
        <f>D25</f>
        <v>5120</v>
      </c>
      <c r="F38" s="34">
        <f>D26</f>
        <v>2658.4615999999996</v>
      </c>
      <c r="G38" s="33">
        <f>D26</f>
        <v>2658.4615999999996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</row>
    <row r="39" spans="1:60" ht="15.6" x14ac:dyDescent="0.3">
      <c r="B39" s="27" t="s">
        <v>44</v>
      </c>
      <c r="C39" s="22">
        <v>0</v>
      </c>
      <c r="D39" s="20">
        <f>D32-D36-D37-D38</f>
        <v>1580</v>
      </c>
      <c r="E39" s="20">
        <f>E32-E36-E37-E38</f>
        <v>1080</v>
      </c>
      <c r="F39" s="35">
        <f>F32-F36-F37-F38</f>
        <v>841.53840000000037</v>
      </c>
      <c r="G39" s="30">
        <f>G32-G36-G37-G38</f>
        <v>5641.5384000000004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</row>
    <row r="40" spans="1:60" ht="15.6" x14ac:dyDescent="0.3">
      <c r="B40" s="27" t="s">
        <v>4</v>
      </c>
      <c r="C40" s="22">
        <v>0</v>
      </c>
      <c r="D40" s="22">
        <f>D39*$C$12</f>
        <v>395</v>
      </c>
      <c r="E40" s="22">
        <f t="shared" ref="E40:G40" si="1">E39*$C$12</f>
        <v>270</v>
      </c>
      <c r="F40" s="33">
        <f t="shared" si="1"/>
        <v>210.38460000000009</v>
      </c>
      <c r="G40" s="33">
        <f t="shared" si="1"/>
        <v>1410.3846000000001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</row>
    <row r="41" spans="1:60" ht="15.6" x14ac:dyDescent="0.3">
      <c r="B41" s="27" t="s">
        <v>45</v>
      </c>
      <c r="C41" s="22">
        <v>0</v>
      </c>
      <c r="D41" s="20">
        <f>D32-D36-D40</f>
        <v>19105</v>
      </c>
      <c r="E41" s="20">
        <f>E32-E36-E40</f>
        <v>18730</v>
      </c>
      <c r="F41" s="35">
        <f>F32-F36-F40</f>
        <v>16089.615400000001</v>
      </c>
      <c r="G41" s="30">
        <f>G32-G36-G40</f>
        <v>19689.615399999999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</row>
    <row r="42" spans="1:60" ht="15.6" x14ac:dyDescent="0.3">
      <c r="B42" s="27" t="s">
        <v>24</v>
      </c>
      <c r="C42" s="22">
        <v>0</v>
      </c>
      <c r="D42" s="20">
        <v>13000</v>
      </c>
      <c r="E42" s="20">
        <v>13000</v>
      </c>
      <c r="F42" s="32">
        <v>1000</v>
      </c>
      <c r="G42" s="20">
        <v>1000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</row>
    <row r="43" spans="1:60" ht="15.6" x14ac:dyDescent="0.3">
      <c r="B43" s="27" t="s">
        <v>46</v>
      </c>
      <c r="C43" s="22">
        <v>0</v>
      </c>
      <c r="D43" s="22">
        <v>0</v>
      </c>
      <c r="E43" s="22">
        <v>0</v>
      </c>
      <c r="F43" s="32">
        <v>14000</v>
      </c>
      <c r="G43" s="20">
        <v>14000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</row>
    <row r="44" spans="1:60" ht="15.6" x14ac:dyDescent="0.3">
      <c r="A44" s="4"/>
      <c r="B44" s="27" t="s">
        <v>47</v>
      </c>
      <c r="C44" s="20">
        <f>-C11</f>
        <v>-64000</v>
      </c>
      <c r="D44" s="20">
        <f>D41-D42+D43</f>
        <v>6105</v>
      </c>
      <c r="E44" s="20">
        <f>E41-E42+E43</f>
        <v>5730</v>
      </c>
      <c r="F44" s="35">
        <f>F41-F42+F43</f>
        <v>29089.615400000002</v>
      </c>
      <c r="G44" s="30">
        <f>G41-G42+G43</f>
        <v>32689.615399999999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</row>
    <row r="45" spans="1:60" ht="15.6" x14ac:dyDescent="0.3">
      <c r="A45" s="4"/>
      <c r="B45" s="27" t="s">
        <v>48</v>
      </c>
      <c r="C45" s="22" t="s">
        <v>38</v>
      </c>
      <c r="D45" s="38">
        <f>D44*F12+E44*G12</f>
        <v>5936.25</v>
      </c>
      <c r="E45" s="39"/>
      <c r="F45" s="31">
        <f>F44*F12+G44*G12</f>
        <v>30709.615400000002</v>
      </c>
      <c r="G45" s="22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</row>
    <row r="46" spans="1:60" ht="15.6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</row>
    <row r="47" spans="1:60" ht="15.6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</row>
    <row r="48" spans="1:60" ht="15.6" x14ac:dyDescent="0.3">
      <c r="A48" s="4"/>
      <c r="B48" s="17" t="s">
        <v>49</v>
      </c>
      <c r="C48" s="36">
        <f>D45/(1+C13)^1+F45/(1+C13)^2+C44</f>
        <v>-32174.926783264746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</row>
    <row r="49" spans="1:60" ht="15.6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</row>
    <row r="50" spans="1:60" ht="15.6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</row>
    <row r="51" spans="1:60" ht="15.6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</row>
    <row r="52" spans="1:60" ht="15.6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</row>
    <row r="53" spans="1:60" ht="15.6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</row>
    <row r="54" spans="1:60" ht="15.6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</row>
    <row r="55" spans="1:60" ht="15.6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</row>
    <row r="56" spans="1:60" ht="15.6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</row>
    <row r="57" spans="1:60" ht="15.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</row>
    <row r="58" spans="1:60" ht="15.6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</row>
    <row r="59" spans="1:60" ht="15.6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</row>
    <row r="60" spans="1:60" ht="15.6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</row>
    <row r="61" spans="1:60" ht="15.6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</row>
    <row r="62" spans="1:60" ht="15.6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</row>
    <row r="63" spans="1:60" ht="15.6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</row>
    <row r="64" spans="1:60" ht="15.6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</row>
    <row r="65" spans="1:60" ht="15.6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</row>
    <row r="66" spans="1:60" ht="15.6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</row>
    <row r="67" spans="1:60" ht="15.6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</row>
    <row r="68" spans="1:60" ht="15.6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</row>
    <row r="69" spans="1:60" ht="15.6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</row>
    <row r="70" spans="1:60" ht="15.6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</row>
    <row r="71" spans="1:60" ht="15.6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</row>
    <row r="72" spans="1:60" ht="15.6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</row>
    <row r="73" spans="1:60" ht="15.6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</row>
    <row r="74" spans="1:60" ht="15.6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</row>
    <row r="75" spans="1:60" ht="15.6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</row>
    <row r="76" spans="1:60" ht="15.6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</row>
    <row r="77" spans="1:60" ht="15.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</row>
    <row r="78" spans="1:60" ht="15.6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</row>
    <row r="79" spans="1:60" ht="15.6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</row>
    <row r="80" spans="1:60" ht="15.6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</row>
    <row r="81" spans="1:60" ht="15.6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</row>
    <row r="82" spans="1:60" ht="15.6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</row>
  </sheetData>
  <mergeCells count="6">
    <mergeCell ref="D45:E45"/>
    <mergeCell ref="C3:D3"/>
    <mergeCell ref="E3:F3"/>
    <mergeCell ref="C23:F23"/>
    <mergeCell ref="D30:E30"/>
    <mergeCell ref="F30:G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Άσκηση 1</vt:lpstr>
      <vt:lpstr>Άσκηση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Παναγιωτης Κωστ.</dc:creator>
  <cp:keywords/>
  <dc:description/>
  <cp:lastModifiedBy>Παναγιωτης Κωστ.</cp:lastModifiedBy>
  <cp:revision/>
  <dcterms:created xsi:type="dcterms:W3CDTF">2024-04-23T10:08:51Z</dcterms:created>
  <dcterms:modified xsi:type="dcterms:W3CDTF">2026-08-11T08:51:36Z</dcterms:modified>
  <cp:category/>
  <cp:contentStatus/>
</cp:coreProperties>
</file>