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aec70558032046/Υπολογιστής/Investment_Decision_Analysis/"/>
    </mc:Choice>
  </mc:AlternateContent>
  <xr:revisionPtr revIDLastSave="0" documentId="8_{48CC6405-0049-4F29-929F-4D6F3B2BBBF6}" xr6:coauthVersionLast="47" xr6:coauthVersionMax="47" xr10:uidLastSave="{00000000-0000-0000-0000-000000000000}"/>
  <bookViews>
    <workbookView xWindow="-108" yWindow="-108" windowWidth="23256" windowHeight="12456" activeTab="3" xr2:uid="{B260C419-02D9-4D8E-A280-84E0F1D3AC24}"/>
  </bookViews>
  <sheets>
    <sheet name="Άσκηση_1" sheetId="1" r:id="rId1"/>
    <sheet name="Άσκηση_2" sheetId="2" r:id="rId2"/>
    <sheet name="Άσκηση_3" sheetId="3" r:id="rId3"/>
    <sheet name="Άσκηση_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4" l="1"/>
  <c r="J12" i="4" s="1"/>
  <c r="I11" i="4"/>
  <c r="I12" i="4" s="1"/>
  <c r="H11" i="4"/>
  <c r="H12" i="4" s="1"/>
  <c r="E11" i="4"/>
  <c r="E12" i="4" s="1"/>
  <c r="D11" i="4"/>
  <c r="D12" i="4" s="1"/>
  <c r="C11" i="4"/>
  <c r="C12" i="4" s="1"/>
  <c r="C21" i="3"/>
  <c r="C22" i="3" s="1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I13" i="2"/>
  <c r="I14" i="2" s="1"/>
  <c r="H13" i="2"/>
  <c r="H14" i="2" s="1"/>
  <c r="D13" i="2"/>
  <c r="D14" i="2" s="1"/>
  <c r="C13" i="2"/>
  <c r="C14" i="2" s="1"/>
  <c r="E34" i="1"/>
  <c r="E23" i="1"/>
  <c r="D12" i="1"/>
  <c r="C12" i="1"/>
  <c r="D11" i="1"/>
  <c r="C11" i="1"/>
</calcChain>
</file>

<file path=xl/sharedStrings.xml><?xml version="1.0" encoding="utf-8"?>
<sst xmlns="http://schemas.openxmlformats.org/spreadsheetml/2006/main" count="47" uniqueCount="19">
  <si>
    <t>Έτος</t>
  </si>
  <si>
    <t>Α</t>
  </si>
  <si>
    <t>Β</t>
  </si>
  <si>
    <t>ΠΑ</t>
  </si>
  <si>
    <t>ΚΠΑ</t>
  </si>
  <si>
    <t>Επένδυση Α</t>
  </si>
  <si>
    <t>Κόστος Επένδυσης</t>
  </si>
  <si>
    <t>Άναμενόμενες Καθαρές Ταμειακές Ροές</t>
  </si>
  <si>
    <t>Επιτόκιο</t>
  </si>
  <si>
    <t>ΕΒΑ</t>
  </si>
  <si>
    <t>Επένδυση Β</t>
  </si>
  <si>
    <t xml:space="preserve">Κόστος Επένδυσης </t>
  </si>
  <si>
    <t>Επένδυση</t>
  </si>
  <si>
    <t>ΝPV</t>
  </si>
  <si>
    <t>Επιτόκιο 13,6%</t>
  </si>
  <si>
    <t>Επιτόκιο 14,8%</t>
  </si>
  <si>
    <t xml:space="preserve">Έργο 1 </t>
  </si>
  <si>
    <t>Έργο 2</t>
  </si>
  <si>
    <t>Έργο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</si>
</sst>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&quot;[$€];[Red]&quot;-&quot;#,##0.00&quot; &quot;[$€]"/>
    <numFmt numFmtId="165" formatCode="0.0000%"/>
  </numFmts>
  <fonts count="1" x14ac:knownFonts="1"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9" fontId="0" fillId="0" borderId="1" xfId="0" applyNumberFormat="1" applyBorder="1" applyAlignment="1">
      <alignment horizontal="center" vertical="center"/>
    </xf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0" fillId="0" borderId="3" xfId="0" applyFill="1" applyBorder="1"/>
    <xf numFmtId="9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/>
    </xf>
  </cellXfs>
  <cellStyles count="1">
    <cellStyle name="Κανονικό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600" b="1" i="0" u="none" strike="noStrike" kern="1200" spc="100" baseline="0">
                <a:solidFill>
                  <a:srgbClr val="F2F2F2"/>
                </a:solidFill>
                <a:effectLst>
                  <a:outerShdw dist="38103" dir="5400000">
                    <a:srgbClr val="000000"/>
                  </a:outerShdw>
                </a:effectLst>
                <a:latin typeface="Aptos Narrow"/>
              </a:defRPr>
            </a:pPr>
            <a:r>
              <a:rPr lang="el-GR" sz="1600" b="1" i="0" u="none" strike="noStrike" kern="1200" cap="none" spc="100" baseline="0">
                <a:solidFill>
                  <a:srgbClr val="F2F2F2"/>
                </a:solidFill>
                <a:effectLst>
                  <a:outerShdw dist="38103" dir="5400000">
                    <a:srgbClr val="000000"/>
                  </a:outerShdw>
                </a:effectLst>
                <a:uFillTx/>
                <a:latin typeface="Aptos Narrow"/>
              </a:rPr>
              <a:t>Προφίλ ΚΠΑ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Άσκηση_3!$E$3:$E$3</c:f>
              <c:strCache>
                <c:ptCount val="1"/>
                <c:pt idx="0">
                  <c:v>Επιτόκιο</c:v>
                </c:pt>
              </c:strCache>
            </c:strRef>
          </c:tx>
          <c:spPr>
            <a:gradFill>
              <a:gsLst>
                <a:gs pos="0">
                  <a:srgbClr val="497491"/>
                </a:gs>
                <a:gs pos="100000">
                  <a:srgbClr val="106287"/>
                </a:gs>
              </a:gsLst>
              <a:lin ang="5400000"/>
            </a:gradFill>
            <a:ln>
              <a:noFill/>
            </a:ln>
            <a:effectLst>
              <a:outerShdw dist="19046" dir="5400000" algn="tl">
                <a:srgbClr val="000000">
                  <a:alpha val="63000"/>
                </a:srgbClr>
              </a:outerShdw>
            </a:effectLst>
          </c:spPr>
          <c:val>
            <c:numRef>
              <c:f>Άσκηση_3!$E$4:$E$19</c:f>
              <c:numCache>
                <c:formatCode>0%</c:formatCode>
                <c:ptCount val="16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C9-4C88-B3F5-5898A4D89E5C}"/>
            </c:ext>
          </c:extLst>
        </c:ser>
        <c:ser>
          <c:idx val="1"/>
          <c:order val="1"/>
          <c:tx>
            <c:strRef>
              <c:f>Άσκηση_3!$F$3:$F$3</c:f>
              <c:strCache>
                <c:ptCount val="1"/>
                <c:pt idx="0">
                  <c:v>ΝPV</c:v>
                </c:pt>
              </c:strCache>
            </c:strRef>
          </c:tx>
          <c:spPr>
            <a:gradFill>
              <a:gsLst>
                <a:gs pos="0">
                  <a:srgbClr val="ED8256"/>
                </a:gs>
                <a:gs pos="100000">
                  <a:srgbClr val="F26E29"/>
                </a:gs>
              </a:gsLst>
              <a:lin ang="5400000"/>
            </a:gradFill>
            <a:ln>
              <a:noFill/>
            </a:ln>
            <a:effectLst>
              <a:outerShdw dist="19046" dir="5400000" algn="tl">
                <a:srgbClr val="000000">
                  <a:alpha val="63000"/>
                </a:srgbClr>
              </a:outerShdw>
            </a:effectLst>
          </c:spPr>
          <c:val>
            <c:numRef>
              <c:f>Άσκηση_3!$F$4:$F$19</c:f>
              <c:numCache>
                <c:formatCode>General</c:formatCode>
                <c:ptCount val="16"/>
                <c:pt idx="0">
                  <c:v>62000</c:v>
                </c:pt>
                <c:pt idx="1">
                  <c:v>46138.197285657385</c:v>
                </c:pt>
                <c:pt idx="2">
                  <c:v>33705.404799951626</c:v>
                </c:pt>
                <c:pt idx="3">
                  <c:v>23879.934872382306</c:v>
                </c:pt>
                <c:pt idx="4">
                  <c:v>16054.864655774731</c:v>
                </c:pt>
                <c:pt idx="5">
                  <c:v>9777.9132301584468</c:v>
                </c:pt>
                <c:pt idx="6">
                  <c:v>4709.1251411012754</c:v>
                </c:pt>
                <c:pt idx="7">
                  <c:v>590.82795562593947</c:v>
                </c:pt>
                <c:pt idx="8">
                  <c:v>-2773.8762086894112</c:v>
                </c:pt>
                <c:pt idx="9">
                  <c:v>-5536.6356073229017</c:v>
                </c:pt>
                <c:pt idx="10">
                  <c:v>-7815.1441538684003</c:v>
                </c:pt>
                <c:pt idx="11">
                  <c:v>-9701.4231130377884</c:v>
                </c:pt>
                <c:pt idx="12">
                  <c:v>-11267.939044549281</c:v>
                </c:pt>
                <c:pt idx="13">
                  <c:v>-12572.156511761194</c:v>
                </c:pt>
                <c:pt idx="14">
                  <c:v>-13659.950236646126</c:v>
                </c:pt>
                <c:pt idx="15">
                  <c:v>-14568.180242201999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C9-4C88-B3F5-5898A4D89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9565439"/>
        <c:axId val="1640171471"/>
      </c:areaChart>
      <c:valAx>
        <c:axId val="1640171471"/>
        <c:scaling>
          <c:orientation val="minMax"/>
        </c:scaling>
        <c:delete val="0"/>
        <c:axPos val="l"/>
        <c:majorGridlines>
          <c:spPr>
            <a:ln w="9528" cap="flat">
              <a:solidFill>
                <a:srgbClr val="F2F2F2">
                  <a:alpha val="10000"/>
                </a:srgb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D9D9D9"/>
                </a:solidFill>
                <a:latin typeface="Aptos Narrow"/>
              </a:defRPr>
            </a:pPr>
            <a:endParaRPr lang="el-GR"/>
          </a:p>
        </c:txPr>
        <c:crossAx val="1659565439"/>
        <c:crosses val="autoZero"/>
        <c:crossBetween val="midCat"/>
      </c:valAx>
      <c:catAx>
        <c:axId val="165956543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12701" cap="flat">
            <a:solidFill>
              <a:srgbClr val="F2F2F2">
                <a:alpha val="54000"/>
              </a:srgbClr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D9D9D9"/>
                </a:solidFill>
                <a:latin typeface="Aptos Narrow"/>
              </a:defRPr>
            </a:pPr>
            <a:endParaRPr lang="el-GR"/>
          </a:p>
        </c:txPr>
        <c:crossAx val="1640171471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900" b="0" i="0" u="none" strike="noStrike" kern="1200" baseline="0">
              <a:solidFill>
                <a:srgbClr val="D9D9D9"/>
              </a:solidFill>
              <a:latin typeface="Aptos Narrow"/>
            </a:defRPr>
          </a:pPr>
          <a:endParaRPr lang="el-GR"/>
        </a:p>
      </c:txPr>
    </c:legend>
    <c:plotVisOnly val="1"/>
    <c:dispBlanksAs val="zero"/>
    <c:showDLblsOverMax val="0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>
      <a:noFill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l-GR" sz="1000" b="0" i="0" u="none" strike="noStrike" kern="1200" baseline="0">
          <a:solidFill>
            <a:srgbClr val="000000"/>
          </a:solidFill>
          <a:latin typeface="Aptos Narrow"/>
        </a:defRPr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600" b="1" i="0" u="none" strike="noStrike" kern="1200" spc="100" baseline="0">
                <a:solidFill>
                  <a:srgbClr val="F2F2F2"/>
                </a:solidFill>
                <a:effectLst>
                  <a:outerShdw dist="38103" dir="5400000">
                    <a:srgbClr val="000000"/>
                  </a:outerShdw>
                </a:effectLst>
                <a:latin typeface="Aptos Narrow"/>
              </a:defRPr>
            </a:pPr>
            <a:r>
              <a:rPr lang="el-GR" sz="1600" b="1" i="0" u="none" strike="noStrike" kern="1200" cap="none" spc="100" baseline="0">
                <a:solidFill>
                  <a:srgbClr val="F2F2F2"/>
                </a:solidFill>
                <a:effectLst>
                  <a:outerShdw dist="38103" dir="5400000">
                    <a:srgbClr val="000000"/>
                  </a:outerShdw>
                </a:effectLst>
                <a:uFillTx/>
                <a:latin typeface="Aptos Narrow"/>
              </a:rPr>
              <a:t>Προφίλ ΚΠΑ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Άσκηση_3!$F$3:$F$3</c:f>
              <c:strCache>
                <c:ptCount val="1"/>
                <c:pt idx="0">
                  <c:v>ΝPV</c:v>
                </c:pt>
              </c:strCache>
            </c:strRef>
          </c:tx>
          <c:spPr>
            <a:gradFill>
              <a:gsLst>
                <a:gs pos="0">
                  <a:srgbClr val="497491"/>
                </a:gs>
                <a:gs pos="100000">
                  <a:srgbClr val="106287"/>
                </a:gs>
              </a:gsLst>
              <a:lin ang="5400000"/>
            </a:gradFill>
            <a:ln>
              <a:noFill/>
            </a:ln>
            <a:effectLst>
              <a:outerShdw dist="19046" dir="5400000" algn="tl">
                <a:srgbClr val="000000">
                  <a:alpha val="63000"/>
                </a:srgbClr>
              </a:outerShdw>
            </a:effectLst>
          </c:spPr>
          <c:cat>
            <c:numRef>
              <c:f>Άσκηση_3!$E$4:$E$19</c:f>
              <c:numCache>
                <c:formatCode>0%</c:formatCode>
                <c:ptCount val="16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</c:numCache>
            </c:numRef>
          </c:cat>
          <c:val>
            <c:numRef>
              <c:f>Άσκηση_3!$F$4:$F$19</c:f>
              <c:numCache>
                <c:formatCode>General</c:formatCode>
                <c:ptCount val="16"/>
                <c:pt idx="0">
                  <c:v>62000</c:v>
                </c:pt>
                <c:pt idx="1">
                  <c:v>46138.197285657385</c:v>
                </c:pt>
                <c:pt idx="2">
                  <c:v>33705.404799951626</c:v>
                </c:pt>
                <c:pt idx="3">
                  <c:v>23879.934872382306</c:v>
                </c:pt>
                <c:pt idx="4">
                  <c:v>16054.864655774731</c:v>
                </c:pt>
                <c:pt idx="5">
                  <c:v>9777.9132301584468</c:v>
                </c:pt>
                <c:pt idx="6">
                  <c:v>4709.1251411012754</c:v>
                </c:pt>
                <c:pt idx="7">
                  <c:v>590.82795562593947</c:v>
                </c:pt>
                <c:pt idx="8">
                  <c:v>-2773.8762086894112</c:v>
                </c:pt>
                <c:pt idx="9">
                  <c:v>-5536.6356073229017</c:v>
                </c:pt>
                <c:pt idx="10">
                  <c:v>-7815.1441538684003</c:v>
                </c:pt>
                <c:pt idx="11">
                  <c:v>-9701.4231130377884</c:v>
                </c:pt>
                <c:pt idx="12">
                  <c:v>-11267.939044549281</c:v>
                </c:pt>
                <c:pt idx="13">
                  <c:v>-12572.156511761194</c:v>
                </c:pt>
                <c:pt idx="14">
                  <c:v>-13659.950236646126</c:v>
                </c:pt>
                <c:pt idx="15">
                  <c:v>-14568.180242201999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0E-494A-80C8-B50672838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9575183"/>
        <c:axId val="1640172431"/>
      </c:areaChart>
      <c:valAx>
        <c:axId val="1640172431"/>
        <c:scaling>
          <c:orientation val="minMax"/>
        </c:scaling>
        <c:delete val="0"/>
        <c:axPos val="l"/>
        <c:majorGridlines>
          <c:spPr>
            <a:ln w="9528" cap="flat">
              <a:solidFill>
                <a:srgbClr val="F2F2F2">
                  <a:alpha val="10000"/>
                </a:srgb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D9D9D9"/>
                </a:solidFill>
                <a:latin typeface="Aptos Narrow"/>
              </a:defRPr>
            </a:pPr>
            <a:endParaRPr lang="el-GR"/>
          </a:p>
        </c:txPr>
        <c:crossAx val="1659575183"/>
        <c:crosses val="autoZero"/>
        <c:crossBetween val="midCat"/>
      </c:valAx>
      <c:catAx>
        <c:axId val="1659575183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spPr>
          <a:noFill/>
          <a:ln w="12701" cap="flat">
            <a:solidFill>
              <a:srgbClr val="F2F2F2">
                <a:alpha val="54000"/>
              </a:srgbClr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D9D9D9"/>
                </a:solidFill>
                <a:latin typeface="Aptos Narrow"/>
              </a:defRPr>
            </a:pPr>
            <a:endParaRPr lang="el-GR"/>
          </a:p>
        </c:txPr>
        <c:crossAx val="1640172431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plotVisOnly val="1"/>
    <c:dispBlanksAs val="zero"/>
    <c:showDLblsOverMax val="0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>
      <a:noFill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l-GR" sz="1000" b="0" i="0" u="none" strike="noStrike" kern="1200" baseline="0">
          <a:solidFill>
            <a:srgbClr val="000000"/>
          </a:solidFill>
          <a:latin typeface="Aptos Narrow"/>
        </a:defRPr>
      </a:pPr>
      <a:endParaRPr lang="el-G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182880</xdr:colOff>
      <xdr:row>5</xdr:row>
      <xdr:rowOff>80010</xdr:rowOff>
    </xdr:from>
    <xdr:ext cx="4572000" cy="2743200"/>
    <xdr:graphicFrame macro="">
      <xdr:nvGraphicFramePr>
        <xdr:cNvPr id="2" name="Γράφημα 3">
          <a:extLst>
            <a:ext uri="{FF2B5EF4-FFF2-40B4-BE49-F238E27FC236}">
              <a16:creationId xmlns:a16="http://schemas.microsoft.com/office/drawing/2014/main" id="{BD23F4C9-1E66-77EF-5400-90DFCDC850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182880</xdr:colOff>
      <xdr:row>5</xdr:row>
      <xdr:rowOff>80010</xdr:rowOff>
    </xdr:from>
    <xdr:ext cx="4572000" cy="2743200"/>
    <xdr:graphicFrame macro="">
      <xdr:nvGraphicFramePr>
        <xdr:cNvPr id="3" name="Γράφημα 4">
          <a:extLst>
            <a:ext uri="{FF2B5EF4-FFF2-40B4-BE49-F238E27FC236}">
              <a16:creationId xmlns:a16="http://schemas.microsoft.com/office/drawing/2014/main" id="{66C84137-85E3-937F-2405-23E5DDD1C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D7C0F-0A91-435C-AE8A-766E7851FD4E}">
  <dimension ref="A3:I34"/>
  <sheetViews>
    <sheetView workbookViewId="0">
      <selection activeCell="A2" sqref="A2:H34"/>
    </sheetView>
  </sheetViews>
  <sheetFormatPr defaultRowHeight="14.4" x14ac:dyDescent="0.3"/>
  <cols>
    <col min="1" max="1" width="10.5546875" customWidth="1"/>
    <col min="2" max="2" width="8.88671875" customWidth="1"/>
    <col min="3" max="4" width="10.44140625" bestFit="1" customWidth="1"/>
    <col min="5" max="7" width="8.88671875" customWidth="1"/>
    <col min="8" max="8" width="10.44140625" bestFit="1" customWidth="1"/>
    <col min="9" max="9" width="11.109375" bestFit="1" customWidth="1"/>
    <col min="10" max="10" width="8.88671875" customWidth="1"/>
  </cols>
  <sheetData>
    <row r="3" spans="1:9" x14ac:dyDescent="0.3">
      <c r="B3" s="1" t="s">
        <v>0</v>
      </c>
      <c r="C3" s="1" t="s">
        <v>1</v>
      </c>
      <c r="D3" s="1" t="s">
        <v>2</v>
      </c>
      <c r="G3" s="2"/>
      <c r="H3" s="2"/>
      <c r="I3" s="2"/>
    </row>
    <row r="4" spans="1:9" x14ac:dyDescent="0.3">
      <c r="B4" s="1">
        <v>0</v>
      </c>
      <c r="C4" s="3">
        <v>-18000</v>
      </c>
      <c r="D4" s="3">
        <v>-18000</v>
      </c>
      <c r="G4" s="2"/>
      <c r="H4" s="4"/>
      <c r="I4" s="4"/>
    </row>
    <row r="5" spans="1:9" x14ac:dyDescent="0.3">
      <c r="B5" s="1">
        <v>1</v>
      </c>
      <c r="C5" s="3">
        <v>5000</v>
      </c>
      <c r="D5" s="1">
        <v>0</v>
      </c>
      <c r="G5" s="2"/>
      <c r="H5" s="4"/>
      <c r="I5" s="2"/>
    </row>
    <row r="6" spans="1:9" x14ac:dyDescent="0.3">
      <c r="B6" s="1">
        <v>2</v>
      </c>
      <c r="C6" s="3">
        <v>5000</v>
      </c>
      <c r="D6" s="1">
        <v>0</v>
      </c>
      <c r="G6" s="2"/>
      <c r="H6" s="4"/>
      <c r="I6" s="2"/>
    </row>
    <row r="7" spans="1:9" x14ac:dyDescent="0.3">
      <c r="B7" s="1">
        <v>3</v>
      </c>
      <c r="C7" s="3">
        <v>5000</v>
      </c>
      <c r="D7" s="1">
        <v>0</v>
      </c>
      <c r="G7" s="2"/>
      <c r="H7" s="4"/>
      <c r="I7" s="2"/>
    </row>
    <row r="8" spans="1:9" x14ac:dyDescent="0.3">
      <c r="B8" s="1">
        <v>4</v>
      </c>
      <c r="C8" s="3">
        <v>5000</v>
      </c>
      <c r="D8" s="1">
        <v>0</v>
      </c>
      <c r="G8" s="2"/>
      <c r="H8" s="4"/>
      <c r="I8" s="2"/>
    </row>
    <row r="9" spans="1:9" x14ac:dyDescent="0.3">
      <c r="B9" s="1">
        <v>5</v>
      </c>
      <c r="C9" s="3">
        <v>5000</v>
      </c>
      <c r="D9" s="5">
        <v>30000</v>
      </c>
      <c r="G9" s="2"/>
      <c r="H9" s="4"/>
      <c r="I9" s="6"/>
    </row>
    <row r="11" spans="1:9" x14ac:dyDescent="0.3">
      <c r="B11" s="7" t="s">
        <v>3</v>
      </c>
      <c r="C11" s="8">
        <f>NPV(5%,C5:C9)</f>
        <v>21647.383353154091</v>
      </c>
      <c r="D11" s="8">
        <f>NPV(5%,D5:D9)</f>
        <v>23505.784994053767</v>
      </c>
      <c r="H11" s="9"/>
      <c r="I11" s="9"/>
    </row>
    <row r="12" spans="1:9" x14ac:dyDescent="0.3">
      <c r="B12" s="7" t="s">
        <v>4</v>
      </c>
      <c r="C12" s="8">
        <f>C11+C4</f>
        <v>3647.3833531540913</v>
      </c>
      <c r="D12" s="8">
        <f>D11+D4</f>
        <v>5505.7849940537672</v>
      </c>
      <c r="H12" s="9"/>
      <c r="I12" s="9"/>
    </row>
    <row r="13" spans="1:9" x14ac:dyDescent="0.3">
      <c r="C13" s="9"/>
      <c r="D13" s="9"/>
      <c r="H13" s="9"/>
      <c r="I13" s="9"/>
    </row>
    <row r="15" spans="1:9" x14ac:dyDescent="0.3">
      <c r="A15" s="7" t="s">
        <v>5</v>
      </c>
      <c r="B15" s="14" t="s">
        <v>6</v>
      </c>
      <c r="C15" s="14"/>
      <c r="D15" s="1" t="s">
        <v>0</v>
      </c>
      <c r="E15" s="14" t="s">
        <v>7</v>
      </c>
      <c r="F15" s="14"/>
      <c r="G15" s="14"/>
      <c r="H15" s="14"/>
    </row>
    <row r="16" spans="1:9" x14ac:dyDescent="0.3">
      <c r="B16" s="15">
        <v>-18000</v>
      </c>
      <c r="C16" s="15"/>
      <c r="D16" s="1">
        <v>0</v>
      </c>
      <c r="E16" s="15">
        <v>-18000</v>
      </c>
      <c r="F16" s="15"/>
      <c r="G16" s="15"/>
      <c r="H16" s="15"/>
    </row>
    <row r="17" spans="1:8" x14ac:dyDescent="0.3">
      <c r="B17" s="2"/>
      <c r="C17" s="2"/>
      <c r="D17" s="1">
        <v>1</v>
      </c>
      <c r="E17" s="15">
        <v>5000</v>
      </c>
      <c r="F17" s="15"/>
      <c r="G17" s="15"/>
      <c r="H17" s="15"/>
    </row>
    <row r="18" spans="1:8" x14ac:dyDescent="0.3">
      <c r="B18" s="14" t="s">
        <v>8</v>
      </c>
      <c r="C18" s="14"/>
      <c r="D18" s="1">
        <v>2</v>
      </c>
      <c r="E18" s="15">
        <v>5000</v>
      </c>
      <c r="F18" s="15"/>
      <c r="G18" s="15"/>
      <c r="H18" s="15"/>
    </row>
    <row r="19" spans="1:8" x14ac:dyDescent="0.3">
      <c r="B19" s="16">
        <v>0.05</v>
      </c>
      <c r="C19" s="16"/>
      <c r="D19" s="1">
        <v>3</v>
      </c>
      <c r="E19" s="15">
        <v>5000</v>
      </c>
      <c r="F19" s="15"/>
      <c r="G19" s="15"/>
      <c r="H19" s="15"/>
    </row>
    <row r="20" spans="1:8" x14ac:dyDescent="0.3">
      <c r="B20" s="2"/>
      <c r="C20" s="2"/>
      <c r="D20" s="1">
        <v>4</v>
      </c>
      <c r="E20" s="15">
        <v>5000</v>
      </c>
      <c r="F20" s="15"/>
      <c r="G20" s="15"/>
      <c r="H20" s="15"/>
    </row>
    <row r="21" spans="1:8" x14ac:dyDescent="0.3">
      <c r="B21" s="2"/>
      <c r="C21" s="2"/>
      <c r="D21" s="1">
        <v>5</v>
      </c>
      <c r="E21" s="15">
        <v>5000</v>
      </c>
      <c r="F21" s="15"/>
      <c r="G21" s="15"/>
      <c r="H21" s="15"/>
    </row>
    <row r="23" spans="1:8" x14ac:dyDescent="0.3">
      <c r="D23" s="7" t="s">
        <v>9</v>
      </c>
      <c r="E23" s="17">
        <f>IRR(E16:H21)</f>
        <v>0.12053541205675589</v>
      </c>
      <c r="F23" s="17"/>
      <c r="G23" s="17"/>
      <c r="H23" s="17"/>
    </row>
    <row r="26" spans="1:8" x14ac:dyDescent="0.3">
      <c r="A26" s="11" t="s">
        <v>10</v>
      </c>
      <c r="B26" s="14" t="s">
        <v>11</v>
      </c>
      <c r="C26" s="14"/>
      <c r="D26" s="12" t="s">
        <v>0</v>
      </c>
      <c r="E26" s="14" t="s">
        <v>7</v>
      </c>
      <c r="F26" s="14"/>
      <c r="G26" s="14"/>
      <c r="H26" s="14"/>
    </row>
    <row r="27" spans="1:8" x14ac:dyDescent="0.3">
      <c r="B27" s="15">
        <v>-18000</v>
      </c>
      <c r="C27" s="15"/>
      <c r="D27" s="12">
        <v>0</v>
      </c>
      <c r="E27" s="15">
        <v>-18000</v>
      </c>
      <c r="F27" s="15"/>
      <c r="G27" s="15"/>
      <c r="H27" s="15"/>
    </row>
    <row r="28" spans="1:8" x14ac:dyDescent="0.3">
      <c r="B28" s="18"/>
      <c r="C28" s="18"/>
      <c r="D28" s="1">
        <v>1</v>
      </c>
      <c r="E28" s="15">
        <v>0</v>
      </c>
      <c r="F28" s="15"/>
      <c r="G28" s="15"/>
      <c r="H28" s="15"/>
    </row>
    <row r="29" spans="1:8" x14ac:dyDescent="0.3">
      <c r="B29" s="14" t="s">
        <v>8</v>
      </c>
      <c r="C29" s="14"/>
      <c r="D29" s="12">
        <v>2</v>
      </c>
      <c r="E29" s="15">
        <v>0</v>
      </c>
      <c r="F29" s="15"/>
      <c r="G29" s="15"/>
      <c r="H29" s="15"/>
    </row>
    <row r="30" spans="1:8" x14ac:dyDescent="0.3">
      <c r="B30" s="16">
        <v>0.05</v>
      </c>
      <c r="C30" s="16"/>
      <c r="D30" s="12">
        <v>3</v>
      </c>
      <c r="E30" s="15">
        <v>0</v>
      </c>
      <c r="F30" s="15"/>
      <c r="G30" s="15"/>
      <c r="H30" s="15"/>
    </row>
    <row r="31" spans="1:8" x14ac:dyDescent="0.3">
      <c r="B31" s="2"/>
      <c r="C31" s="2"/>
      <c r="D31" s="1">
        <v>4</v>
      </c>
      <c r="E31" s="15">
        <v>0</v>
      </c>
      <c r="F31" s="15"/>
      <c r="G31" s="15"/>
      <c r="H31" s="15"/>
    </row>
    <row r="32" spans="1:8" x14ac:dyDescent="0.3">
      <c r="B32" s="2"/>
      <c r="C32" s="2"/>
      <c r="D32" s="1">
        <v>5</v>
      </c>
      <c r="E32" s="15">
        <v>30000</v>
      </c>
      <c r="F32" s="15"/>
      <c r="G32" s="15"/>
      <c r="H32" s="15"/>
    </row>
    <row r="34" spans="4:8" x14ac:dyDescent="0.3">
      <c r="D34" s="7" t="s">
        <v>9</v>
      </c>
      <c r="E34" s="17">
        <f>IRR(E27:H32)</f>
        <v>0.10756634324828851</v>
      </c>
      <c r="F34" s="17"/>
      <c r="G34" s="17"/>
      <c r="H34" s="17"/>
    </row>
  </sheetData>
  <mergeCells count="25">
    <mergeCell ref="B30:C30"/>
    <mergeCell ref="E30:H30"/>
    <mergeCell ref="E31:H31"/>
    <mergeCell ref="E32:H32"/>
    <mergeCell ref="E34:H34"/>
    <mergeCell ref="B27:C27"/>
    <mergeCell ref="E27:H27"/>
    <mergeCell ref="B28:C28"/>
    <mergeCell ref="E28:H28"/>
    <mergeCell ref="B29:C29"/>
    <mergeCell ref="E29:H29"/>
    <mergeCell ref="B19:C19"/>
    <mergeCell ref="E19:H19"/>
    <mergeCell ref="E20:H20"/>
    <mergeCell ref="E21:H21"/>
    <mergeCell ref="E23:H23"/>
    <mergeCell ref="B26:C26"/>
    <mergeCell ref="E26:H26"/>
    <mergeCell ref="B15:C15"/>
    <mergeCell ref="E15:H15"/>
    <mergeCell ref="B16:C16"/>
    <mergeCell ref="E16:H16"/>
    <mergeCell ref="E17:H17"/>
    <mergeCell ref="B18:C18"/>
    <mergeCell ref="E18:H18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0CAB8-CD85-4704-ABE4-1CE63028D1A7}">
  <dimension ref="B1:I16"/>
  <sheetViews>
    <sheetView workbookViewId="0">
      <selection activeCell="B1" sqref="B1:I14"/>
    </sheetView>
  </sheetViews>
  <sheetFormatPr defaultRowHeight="14.4" x14ac:dyDescent="0.3"/>
  <cols>
    <col min="1" max="1" width="8.88671875" customWidth="1"/>
  </cols>
  <sheetData>
    <row r="1" spans="2:9" x14ac:dyDescent="0.3">
      <c r="C1" s="19">
        <v>0.12</v>
      </c>
      <c r="H1" s="19">
        <v>0.18</v>
      </c>
    </row>
    <row r="3" spans="2:9" x14ac:dyDescent="0.3">
      <c r="B3" s="1" t="s">
        <v>0</v>
      </c>
      <c r="C3" s="1" t="s">
        <v>1</v>
      </c>
      <c r="D3" s="1" t="s">
        <v>2</v>
      </c>
      <c r="G3" s="1" t="s">
        <v>0</v>
      </c>
      <c r="H3" s="1" t="s">
        <v>1</v>
      </c>
      <c r="I3" s="1" t="s">
        <v>2</v>
      </c>
    </row>
    <row r="4" spans="2:9" x14ac:dyDescent="0.3">
      <c r="B4" s="1">
        <v>0</v>
      </c>
      <c r="C4" s="1">
        <v>-300</v>
      </c>
      <c r="D4" s="1">
        <v>-405</v>
      </c>
      <c r="G4" s="1">
        <v>0</v>
      </c>
      <c r="H4" s="1">
        <v>-300</v>
      </c>
      <c r="I4" s="1">
        <v>-405</v>
      </c>
    </row>
    <row r="5" spans="2:9" x14ac:dyDescent="0.3">
      <c r="B5" s="1">
        <v>1</v>
      </c>
      <c r="C5" s="1">
        <v>-387</v>
      </c>
      <c r="D5" s="1">
        <v>134</v>
      </c>
      <c r="G5" s="1">
        <v>1</v>
      </c>
      <c r="H5" s="1">
        <v>-387</v>
      </c>
      <c r="I5" s="1">
        <v>134</v>
      </c>
    </row>
    <row r="6" spans="2:9" x14ac:dyDescent="0.3">
      <c r="B6" s="1">
        <v>2</v>
      </c>
      <c r="C6" s="1">
        <v>-193</v>
      </c>
      <c r="D6" s="1">
        <v>134</v>
      </c>
      <c r="G6" s="1">
        <v>2</v>
      </c>
      <c r="H6" s="1">
        <v>-193</v>
      </c>
      <c r="I6" s="1">
        <v>134</v>
      </c>
    </row>
    <row r="7" spans="2:9" x14ac:dyDescent="0.3">
      <c r="B7" s="1">
        <v>3</v>
      </c>
      <c r="C7" s="1">
        <v>-100</v>
      </c>
      <c r="D7" s="1">
        <v>134</v>
      </c>
      <c r="G7" s="1">
        <v>3</v>
      </c>
      <c r="H7" s="1">
        <v>-100</v>
      </c>
      <c r="I7" s="1">
        <v>134</v>
      </c>
    </row>
    <row r="8" spans="2:9" x14ac:dyDescent="0.3">
      <c r="B8" s="1">
        <v>4</v>
      </c>
      <c r="C8" s="1">
        <v>600</v>
      </c>
      <c r="D8" s="1">
        <v>134</v>
      </c>
      <c r="G8" s="1">
        <v>4</v>
      </c>
      <c r="H8" s="1">
        <v>600</v>
      </c>
      <c r="I8" s="1">
        <v>134</v>
      </c>
    </row>
    <row r="9" spans="2:9" x14ac:dyDescent="0.3">
      <c r="B9" s="1">
        <v>5</v>
      </c>
      <c r="C9" s="1">
        <v>600</v>
      </c>
      <c r="D9" s="1">
        <v>134</v>
      </c>
      <c r="G9" s="1">
        <v>5</v>
      </c>
      <c r="H9" s="1">
        <v>600</v>
      </c>
      <c r="I9" s="1">
        <v>134</v>
      </c>
    </row>
    <row r="10" spans="2:9" x14ac:dyDescent="0.3">
      <c r="B10" s="1">
        <v>6</v>
      </c>
      <c r="C10" s="1">
        <v>850</v>
      </c>
      <c r="D10" s="1">
        <v>134</v>
      </c>
      <c r="G10" s="1">
        <v>6</v>
      </c>
      <c r="H10" s="1">
        <v>850</v>
      </c>
      <c r="I10" s="1">
        <v>134</v>
      </c>
    </row>
    <row r="11" spans="2:9" x14ac:dyDescent="0.3">
      <c r="B11" s="1">
        <v>7</v>
      </c>
      <c r="C11" s="1">
        <v>-180</v>
      </c>
      <c r="D11" s="1">
        <v>1</v>
      </c>
      <c r="G11" s="1">
        <v>7</v>
      </c>
      <c r="H11" s="1">
        <v>-180</v>
      </c>
      <c r="I11" s="1">
        <v>1</v>
      </c>
    </row>
    <row r="13" spans="2:9" x14ac:dyDescent="0.3">
      <c r="B13" s="7" t="s">
        <v>3</v>
      </c>
      <c r="C13" s="8">
        <f>NPV(12%,C5:C11)</f>
        <v>500.40839727973764</v>
      </c>
      <c r="D13" s="8">
        <f>NPV(12%,D5:D11)</f>
        <v>551.38093056732839</v>
      </c>
      <c r="G13" s="7" t="s">
        <v>3</v>
      </c>
      <c r="H13" s="8">
        <f>NPV(18%,H5:H11)</f>
        <v>302.66037324785617</v>
      </c>
      <c r="I13" s="8">
        <f>NPV(18%,I5:I11)</f>
        <v>468.99266808931571</v>
      </c>
    </row>
    <row r="14" spans="2:9" x14ac:dyDescent="0.3">
      <c r="B14" s="7" t="s">
        <v>4</v>
      </c>
      <c r="C14" s="8">
        <f>C13+C4</f>
        <v>200.40839727973764</v>
      </c>
      <c r="D14" s="8">
        <f>D13+D4</f>
        <v>146.38093056732839</v>
      </c>
      <c r="G14" s="7" t="s">
        <v>4</v>
      </c>
      <c r="H14" s="8">
        <f>H13+H4</f>
        <v>2.660373247856171</v>
      </c>
      <c r="I14" s="8">
        <f>I13+I4</f>
        <v>63.992668089315714</v>
      </c>
    </row>
    <row r="16" spans="2:9" x14ac:dyDescent="0.3">
      <c r="C16" s="9"/>
    </row>
  </sheetData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0D646-24FC-4A3D-9BDD-9C4687B1DD92}">
  <dimension ref="B3:J22"/>
  <sheetViews>
    <sheetView workbookViewId="0">
      <selection activeCell="B2" sqref="B2:O22"/>
    </sheetView>
  </sheetViews>
  <sheetFormatPr defaultRowHeight="14.4" x14ac:dyDescent="0.3"/>
  <cols>
    <col min="1" max="2" width="8.88671875" customWidth="1"/>
    <col min="3" max="3" width="11.44140625" bestFit="1" customWidth="1"/>
    <col min="4" max="5" width="8.88671875" customWidth="1"/>
    <col min="6" max="6" width="11.44140625" bestFit="1" customWidth="1"/>
    <col min="7" max="7" width="8.88671875" customWidth="1"/>
  </cols>
  <sheetData>
    <row r="3" spans="2:10" x14ac:dyDescent="0.3">
      <c r="B3" s="1" t="s">
        <v>0</v>
      </c>
      <c r="C3" s="1" t="s">
        <v>12</v>
      </c>
      <c r="D3" s="2"/>
      <c r="E3" s="1" t="s">
        <v>8</v>
      </c>
      <c r="F3" s="13" t="s">
        <v>13</v>
      </c>
    </row>
    <row r="4" spans="2:10" x14ac:dyDescent="0.3">
      <c r="B4" s="1">
        <v>0</v>
      </c>
      <c r="C4" s="1">
        <v>-40000</v>
      </c>
      <c r="D4" s="2"/>
      <c r="E4" s="10">
        <v>0</v>
      </c>
      <c r="F4" s="20">
        <f>NPV(0%,C4:C19)</f>
        <v>62000</v>
      </c>
      <c r="G4" s="2"/>
      <c r="H4" s="2"/>
      <c r="I4" s="2"/>
      <c r="J4" s="2"/>
    </row>
    <row r="5" spans="2:10" x14ac:dyDescent="0.3">
      <c r="B5" s="1">
        <v>1</v>
      </c>
      <c r="C5" s="1">
        <v>6000</v>
      </c>
      <c r="D5" s="2"/>
      <c r="E5" s="10">
        <v>0.02</v>
      </c>
      <c r="F5" s="20">
        <f>NPV(2%,C4:C19)</f>
        <v>46138.197285657385</v>
      </c>
      <c r="G5" s="2"/>
      <c r="H5" s="2"/>
      <c r="I5" s="2"/>
      <c r="J5" s="2"/>
    </row>
    <row r="6" spans="2:10" x14ac:dyDescent="0.3">
      <c r="B6" s="1">
        <v>2</v>
      </c>
      <c r="C6" s="1">
        <v>6000</v>
      </c>
      <c r="D6" s="2"/>
      <c r="E6" s="10">
        <v>0.04</v>
      </c>
      <c r="F6" s="20">
        <f>NPV(4%,C4:C19)</f>
        <v>33705.404799951626</v>
      </c>
      <c r="G6" s="2"/>
      <c r="H6" s="2"/>
      <c r="I6" s="2"/>
      <c r="J6" s="2"/>
    </row>
    <row r="7" spans="2:10" x14ac:dyDescent="0.3">
      <c r="B7" s="1">
        <v>3</v>
      </c>
      <c r="C7" s="1">
        <v>6000</v>
      </c>
      <c r="D7" s="2"/>
      <c r="E7" s="10">
        <v>0.06</v>
      </c>
      <c r="F7" s="20">
        <f>NPV(6%,C4:C19)</f>
        <v>23879.934872382306</v>
      </c>
      <c r="G7" s="2"/>
      <c r="H7" s="2"/>
      <c r="I7" s="2"/>
      <c r="J7" s="2"/>
    </row>
    <row r="8" spans="2:10" x14ac:dyDescent="0.3">
      <c r="B8" s="1">
        <v>4</v>
      </c>
      <c r="C8" s="1">
        <v>7000</v>
      </c>
      <c r="D8" s="2"/>
      <c r="E8" s="10">
        <v>0.08</v>
      </c>
      <c r="F8" s="20">
        <f>NPV(8%,C4:C19)</f>
        <v>16054.864655774731</v>
      </c>
      <c r="G8" s="2"/>
      <c r="H8" s="2"/>
      <c r="I8" s="2"/>
      <c r="J8" s="2"/>
    </row>
    <row r="9" spans="2:10" x14ac:dyDescent="0.3">
      <c r="B9" s="1">
        <v>5</v>
      </c>
      <c r="C9" s="1">
        <v>7000</v>
      </c>
      <c r="D9" s="2"/>
      <c r="E9" s="10">
        <v>0.1</v>
      </c>
      <c r="F9" s="20">
        <f>NPV(10%,C4:C19)</f>
        <v>9777.9132301584468</v>
      </c>
      <c r="G9" s="2"/>
      <c r="H9" s="2"/>
      <c r="I9" s="2"/>
      <c r="J9" s="2"/>
    </row>
    <row r="10" spans="2:10" x14ac:dyDescent="0.3">
      <c r="B10" s="1">
        <v>6</v>
      </c>
      <c r="C10" s="1">
        <v>7000</v>
      </c>
      <c r="D10" s="2"/>
      <c r="E10" s="10">
        <v>0.12</v>
      </c>
      <c r="F10" s="20">
        <f>NPV(12%,C4:C19)</f>
        <v>4709.1251411012754</v>
      </c>
      <c r="G10" s="2"/>
      <c r="H10" s="2"/>
      <c r="I10" s="2"/>
      <c r="J10" s="2"/>
    </row>
    <row r="11" spans="2:10" x14ac:dyDescent="0.3">
      <c r="B11" s="1">
        <v>7</v>
      </c>
      <c r="C11" s="1">
        <v>7000</v>
      </c>
      <c r="D11" s="2"/>
      <c r="E11" s="10">
        <v>0.14000000000000001</v>
      </c>
      <c r="F11" s="20">
        <f>NPV(14%,C4:C19)</f>
        <v>590.82795562593947</v>
      </c>
      <c r="G11" s="2"/>
      <c r="H11" s="2"/>
      <c r="I11" s="2"/>
      <c r="J11" s="2"/>
    </row>
    <row r="12" spans="2:10" x14ac:dyDescent="0.3">
      <c r="B12" s="1">
        <v>8</v>
      </c>
      <c r="C12" s="1">
        <v>7000</v>
      </c>
      <c r="D12" s="2"/>
      <c r="E12" s="10">
        <v>0.16</v>
      </c>
      <c r="F12" s="20">
        <f>NPV(16%,C4:C19)</f>
        <v>-2773.8762086894112</v>
      </c>
      <c r="G12" s="2"/>
      <c r="H12" s="2"/>
      <c r="I12" s="2"/>
      <c r="J12" s="2"/>
    </row>
    <row r="13" spans="2:10" x14ac:dyDescent="0.3">
      <c r="B13" s="1">
        <v>9</v>
      </c>
      <c r="C13" s="1">
        <v>7000</v>
      </c>
      <c r="D13" s="2"/>
      <c r="E13" s="10">
        <v>0.18</v>
      </c>
      <c r="F13" s="20">
        <f>NPV(18%,C4:C19)</f>
        <v>-5536.6356073229017</v>
      </c>
      <c r="G13" s="2"/>
      <c r="H13" s="2"/>
      <c r="I13" s="2"/>
      <c r="J13" s="2"/>
    </row>
    <row r="14" spans="2:10" x14ac:dyDescent="0.3">
      <c r="B14" s="1">
        <v>10</v>
      </c>
      <c r="C14" s="1">
        <v>7000</v>
      </c>
      <c r="D14" s="2"/>
      <c r="E14" s="10">
        <v>0.2</v>
      </c>
      <c r="F14" s="20">
        <f>NPV(20%,C4:C19)</f>
        <v>-7815.1441538684003</v>
      </c>
      <c r="G14" s="2"/>
      <c r="H14" s="2"/>
      <c r="I14" s="2"/>
      <c r="J14" s="2"/>
    </row>
    <row r="15" spans="2:10" x14ac:dyDescent="0.3">
      <c r="B15" s="1">
        <v>11</v>
      </c>
      <c r="C15" s="1">
        <v>7000</v>
      </c>
      <c r="D15" s="2"/>
      <c r="E15" s="10">
        <v>0.22</v>
      </c>
      <c r="F15" s="20">
        <f>NPV(22%,C4:C19)</f>
        <v>-9701.4231130377884</v>
      </c>
      <c r="G15" s="2"/>
      <c r="H15" s="2"/>
      <c r="I15" s="2"/>
      <c r="J15" s="2"/>
    </row>
    <row r="16" spans="2:10" x14ac:dyDescent="0.3">
      <c r="B16" s="1">
        <v>12</v>
      </c>
      <c r="C16" s="1">
        <v>7000</v>
      </c>
      <c r="D16" s="2"/>
      <c r="E16" s="10">
        <v>0.24</v>
      </c>
      <c r="F16" s="20">
        <f>NPV(24%,C4:C19)</f>
        <v>-11267.939044549281</v>
      </c>
      <c r="G16" s="2"/>
      <c r="H16" s="2"/>
      <c r="I16" s="2"/>
      <c r="J16" s="2"/>
    </row>
    <row r="17" spans="2:10" x14ac:dyDescent="0.3">
      <c r="B17" s="1">
        <v>13</v>
      </c>
      <c r="C17" s="1">
        <v>7000</v>
      </c>
      <c r="D17" s="2"/>
      <c r="E17" s="10">
        <v>0.26</v>
      </c>
      <c r="F17" s="20">
        <f>NPV(26%,C4:C19)</f>
        <v>-12572.156511761194</v>
      </c>
      <c r="G17" s="2"/>
      <c r="H17" s="2"/>
      <c r="I17" s="2"/>
      <c r="J17" s="2"/>
    </row>
    <row r="18" spans="2:10" x14ac:dyDescent="0.3">
      <c r="B18" s="1">
        <v>14</v>
      </c>
      <c r="C18" s="1">
        <v>7000</v>
      </c>
      <c r="D18" s="2"/>
      <c r="E18" s="10">
        <v>0.28000000000000003</v>
      </c>
      <c r="F18" s="20">
        <f>NPV(28%,C4:C19)</f>
        <v>-13659.950236646126</v>
      </c>
      <c r="G18" s="2"/>
      <c r="H18" s="2"/>
      <c r="I18" s="2"/>
      <c r="J18" s="2"/>
    </row>
    <row r="19" spans="2:10" x14ac:dyDescent="0.3">
      <c r="B19" s="1">
        <v>15</v>
      </c>
      <c r="C19" s="1">
        <v>7000</v>
      </c>
      <c r="D19" s="2"/>
      <c r="E19" s="10">
        <v>0.3</v>
      </c>
      <c r="F19" s="20">
        <f>NPV(30%,C4:C19)</f>
        <v>-14568.180242201999</v>
      </c>
      <c r="G19" s="2"/>
      <c r="H19" s="2"/>
      <c r="I19" s="2"/>
      <c r="J19" s="2"/>
    </row>
    <row r="20" spans="2:10" x14ac:dyDescent="0.3">
      <c r="G20" s="2"/>
      <c r="H20" s="2"/>
      <c r="I20" s="2"/>
      <c r="J20" s="2"/>
    </row>
    <row r="21" spans="2:10" x14ac:dyDescent="0.3">
      <c r="B21" s="7" t="s">
        <v>3</v>
      </c>
      <c r="C21" s="8">
        <f>NPV(10%,C5:C19)</f>
        <v>50755.704553174284</v>
      </c>
    </row>
    <row r="22" spans="2:10" x14ac:dyDescent="0.3">
      <c r="B22" s="7" t="s">
        <v>4</v>
      </c>
      <c r="C22" s="8">
        <f>C21+C4</f>
        <v>10755.704553174284</v>
      </c>
    </row>
  </sheetData>
  <pageMargins left="0.70000000000000007" right="0.70000000000000007" top="0.75" bottom="0.75" header="0.30000000000000004" footer="0.30000000000000004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EDA63-0629-43C0-9272-C580447F55F5}">
  <dimension ref="B2:J12"/>
  <sheetViews>
    <sheetView tabSelected="1" workbookViewId="0">
      <selection activeCell="N8" sqref="N8"/>
    </sheetView>
  </sheetViews>
  <sheetFormatPr defaultRowHeight="14.4" x14ac:dyDescent="0.3"/>
  <cols>
    <col min="1" max="2" width="8.88671875" customWidth="1"/>
    <col min="3" max="5" width="11.44140625" bestFit="1" customWidth="1"/>
    <col min="6" max="7" width="8.88671875" customWidth="1"/>
    <col min="8" max="10" width="11.44140625" bestFit="1" customWidth="1"/>
    <col min="11" max="11" width="8.88671875" customWidth="1"/>
  </cols>
  <sheetData>
    <row r="2" spans="2:10" x14ac:dyDescent="0.3">
      <c r="C2" s="21" t="s">
        <v>14</v>
      </c>
      <c r="D2" s="21"/>
      <c r="H2" s="21" t="s">
        <v>15</v>
      </c>
      <c r="I2" s="21"/>
    </row>
    <row r="4" spans="2:10" x14ac:dyDescent="0.3">
      <c r="B4" s="1" t="s">
        <v>0</v>
      </c>
      <c r="C4" s="1" t="s">
        <v>16</v>
      </c>
      <c r="D4" s="1" t="s">
        <v>17</v>
      </c>
      <c r="E4" s="1" t="s">
        <v>18</v>
      </c>
      <c r="G4" s="1" t="s">
        <v>0</v>
      </c>
      <c r="H4" s="1" t="s">
        <v>16</v>
      </c>
      <c r="I4" s="1" t="s">
        <v>17</v>
      </c>
      <c r="J4" s="1" t="s">
        <v>18</v>
      </c>
    </row>
    <row r="5" spans="2:10" x14ac:dyDescent="0.3">
      <c r="B5" s="1">
        <v>0</v>
      </c>
      <c r="C5" s="1">
        <v>-500000</v>
      </c>
      <c r="D5" s="1">
        <v>-500000</v>
      </c>
      <c r="E5" s="1">
        <v>-500000</v>
      </c>
      <c r="G5" s="1">
        <v>0</v>
      </c>
      <c r="H5" s="1">
        <v>-500000</v>
      </c>
      <c r="I5" s="1">
        <v>-500000</v>
      </c>
      <c r="J5" s="1">
        <v>-500000</v>
      </c>
    </row>
    <row r="6" spans="2:10" x14ac:dyDescent="0.3">
      <c r="B6" s="1">
        <v>1</v>
      </c>
      <c r="C6" s="1">
        <v>0</v>
      </c>
      <c r="D6" s="1">
        <v>0</v>
      </c>
      <c r="E6" s="1">
        <v>245000</v>
      </c>
      <c r="G6" s="1">
        <v>1</v>
      </c>
      <c r="H6" s="1">
        <v>0</v>
      </c>
      <c r="I6" s="1">
        <v>0</v>
      </c>
      <c r="J6" s="1">
        <v>245000</v>
      </c>
    </row>
    <row r="7" spans="2:10" x14ac:dyDescent="0.3">
      <c r="B7" s="1">
        <v>2</v>
      </c>
      <c r="C7" s="1">
        <v>125000</v>
      </c>
      <c r="D7" s="1">
        <v>0</v>
      </c>
      <c r="E7" s="1">
        <v>212336</v>
      </c>
      <c r="G7" s="1">
        <v>2</v>
      </c>
      <c r="H7" s="1">
        <v>125000</v>
      </c>
      <c r="I7" s="1">
        <v>0</v>
      </c>
      <c r="J7" s="1">
        <v>212336</v>
      </c>
    </row>
    <row r="8" spans="2:10" x14ac:dyDescent="0.3">
      <c r="B8" s="1">
        <v>3</v>
      </c>
      <c r="C8" s="1">
        <v>150000</v>
      </c>
      <c r="D8" s="1">
        <v>500000</v>
      </c>
      <c r="E8" s="1">
        <v>112500</v>
      </c>
      <c r="G8" s="1">
        <v>3</v>
      </c>
      <c r="H8" s="1">
        <v>150000</v>
      </c>
      <c r="I8" s="1">
        <v>500000</v>
      </c>
      <c r="J8" s="1">
        <v>112500</v>
      </c>
    </row>
    <row r="9" spans="2:10" x14ac:dyDescent="0.3">
      <c r="B9" s="1">
        <v>4</v>
      </c>
      <c r="C9" s="1">
        <v>375000</v>
      </c>
      <c r="D9" s="1">
        <v>500000</v>
      </c>
      <c r="E9" s="1">
        <v>74000</v>
      </c>
      <c r="G9" s="1">
        <v>4</v>
      </c>
      <c r="H9" s="1">
        <v>375000</v>
      </c>
      <c r="I9" s="1">
        <v>500000</v>
      </c>
      <c r="J9" s="1">
        <v>74000</v>
      </c>
    </row>
    <row r="11" spans="2:10" x14ac:dyDescent="0.3">
      <c r="B11" t="s">
        <v>3</v>
      </c>
      <c r="C11" s="9">
        <f>NPV(13.6%,C6:C9)</f>
        <v>424354.82075890596</v>
      </c>
      <c r="D11" s="9">
        <f>NPV(13.6%,D6:D9)</f>
        <v>641295.10829094681</v>
      </c>
      <c r="E11" s="9">
        <f>NPV(13.6%,E6:E9)</f>
        <v>501380.851499454</v>
      </c>
      <c r="G11" s="7" t="s">
        <v>3</v>
      </c>
      <c r="H11" s="8">
        <f>NPV(14.8%,H6:H9)</f>
        <v>409896.88881708297</v>
      </c>
      <c r="I11" s="8">
        <f>NPV(14.8%,I6:I9)</f>
        <v>618353.36586830195</v>
      </c>
      <c r="J11" s="8">
        <f>NPV(14.8%,J6:J9)</f>
        <v>491494.28240673506</v>
      </c>
    </row>
    <row r="12" spans="2:10" x14ac:dyDescent="0.3">
      <c r="B12" t="s">
        <v>4</v>
      </c>
      <c r="C12" s="9">
        <f>C11+C5</f>
        <v>-75645.17924109404</v>
      </c>
      <c r="D12" s="9">
        <f>D11+D5</f>
        <v>141295.10829094681</v>
      </c>
      <c r="E12" s="9">
        <f>E11+E5</f>
        <v>1380.8514994540019</v>
      </c>
      <c r="G12" s="7" t="s">
        <v>4</v>
      </c>
      <c r="H12" s="8">
        <f>H11+H5</f>
        <v>-90103.111182917026</v>
      </c>
      <c r="I12" s="8">
        <f>I11+I5</f>
        <v>118353.36586830195</v>
      </c>
      <c r="J12" s="8">
        <f>J11+J5</f>
        <v>-8505.7175932649407</v>
      </c>
    </row>
  </sheetData>
  <mergeCells count="2">
    <mergeCell ref="C2:D2"/>
    <mergeCell ref="H2:I2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Άσκηση_1</vt:lpstr>
      <vt:lpstr>Άσκηση_2</vt:lpstr>
      <vt:lpstr>Άσκηση_3</vt:lpstr>
      <vt:lpstr>Άσκηση_4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Panagiotis Kostopoulos</dc:creator>
  <cp:lastModifiedBy>Παναγιωτης Κωστ.</cp:lastModifiedBy>
  <dcterms:created xsi:type="dcterms:W3CDTF">2024-04-02T08:12:34Z</dcterms:created>
  <dcterms:modified xsi:type="dcterms:W3CDTF">2026-08-11T08:48:17Z</dcterms:modified>
</cp:coreProperties>
</file>