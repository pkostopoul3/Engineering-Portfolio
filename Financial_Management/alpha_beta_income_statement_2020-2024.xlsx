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Financial_Management/"/>
    </mc:Choice>
  </mc:AlternateContent>
  <xr:revisionPtr revIDLastSave="0" documentId="8_{D8C501FD-4DC9-4C81-96C0-7282B09737E4}" xr6:coauthVersionLast="47" xr6:coauthVersionMax="47" xr10:uidLastSave="{00000000-0000-0000-0000-000000000000}"/>
  <bookViews>
    <workbookView xWindow="-108" yWindow="-108" windowWidth="23256" windowHeight="12456" xr2:uid="{080F3D08-7C3C-4F89-9F97-E96270439273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D13" i="1"/>
  <c r="D16" i="1"/>
  <c r="E21" i="1"/>
  <c r="D21" i="1"/>
  <c r="E20" i="1"/>
  <c r="E18" i="1"/>
  <c r="E16" i="1"/>
  <c r="C9" i="1"/>
  <c r="C13" i="1"/>
  <c r="C16" i="1" s="1"/>
  <c r="C18" i="1" s="1"/>
  <c r="C20" i="1" s="1"/>
  <c r="C21" i="1" s="1"/>
  <c r="G9" i="1" l="1"/>
  <c r="G13" i="1" s="1"/>
  <c r="G16" i="1" s="1"/>
  <c r="G18" i="1" s="1"/>
  <c r="G20" i="1" s="1"/>
  <c r="F9" i="1"/>
  <c r="F13" i="1" s="1"/>
  <c r="F16" i="1" s="1"/>
  <c r="F18" i="1" s="1"/>
  <c r="F20" i="1" s="1"/>
  <c r="E9" i="1"/>
  <c r="E13" i="1" s="1"/>
  <c r="D9" i="1"/>
  <c r="D18" i="1" s="1"/>
  <c r="D20" i="1" s="1"/>
  <c r="C22" i="1" l="1"/>
  <c r="D22" i="1"/>
  <c r="E22" i="1"/>
  <c r="F21" i="1"/>
  <c r="F22" i="1" s="1"/>
  <c r="G22" i="1"/>
</calcChain>
</file>

<file path=xl/sharedStrings.xml><?xml version="1.0" encoding="utf-8"?>
<sst xmlns="http://schemas.openxmlformats.org/spreadsheetml/2006/main" count="21" uniqueCount="21">
  <si>
    <t>1. Σύνταξη Κατάστασης Αποτελεσμάτων</t>
  </si>
  <si>
    <t>ALPHA - BHTA AE</t>
  </si>
  <si>
    <t>Λογαριασμός Αποτελεσμάτων (εκφρασμένος σε χιλ. €)</t>
  </si>
  <si>
    <t>Έτη</t>
  </si>
  <si>
    <t>Ι. Αποτελέσματα εκμετάλλευσης</t>
  </si>
  <si>
    <r>
      <t>Κύκλος εργασιών (πωλήσεις)</t>
    </r>
    <r>
      <rPr>
        <sz val="12"/>
        <color rgb="FFFF0000"/>
        <rFont val="Times New Roman"/>
        <family val="1"/>
      </rPr>
      <t>*</t>
    </r>
  </si>
  <si>
    <r>
      <t>(Μείον) Κόστος πωλήσεων</t>
    </r>
    <r>
      <rPr>
        <sz val="12"/>
        <color rgb="FFFF0000"/>
        <rFont val="Times New Roman"/>
        <family val="1"/>
      </rPr>
      <t>**</t>
    </r>
  </si>
  <si>
    <t>Μικτά αποτελέσματα (κέρδη) εκμετάλλευσης</t>
  </si>
  <si>
    <t>(Μείον) Έξοδα διοίκησης</t>
  </si>
  <si>
    <t>(Μείον) Έξοδα λειτουργίας διαθέσης</t>
  </si>
  <si>
    <t>(Μείον) Έξοδα R&amp;D</t>
  </si>
  <si>
    <t>Μερικό αποτέλεσμα εκμετάλλευσης</t>
  </si>
  <si>
    <t>(Μείον) Χρεωστικοί τόκοι και συναφή έξοδα</t>
  </si>
  <si>
    <t>(συν) Πιστωτικοί τόκοι και συναφή έσοδα</t>
  </si>
  <si>
    <t>Ολικό αποτέλεσμα εκμετάλλευσης</t>
  </si>
  <si>
    <t>(μείον) έκτακτα έξοδα</t>
  </si>
  <si>
    <t>Οργανικά και έκτακτα αποτελέσματα</t>
  </si>
  <si>
    <t>(μείον) σύνολο αποσβέσεων</t>
  </si>
  <si>
    <t>Καθαρό αποτέλεσμα χρήσης προ φόρων</t>
  </si>
  <si>
    <t>(Μείον) Φόρος εισοδήματος</t>
  </si>
  <si>
    <t>Καθαρό αποτέλεσμα (κέρδη) χρήσης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</si>
</sst>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0_);\(0.00\)"/>
  </numFmts>
  <fonts count="10" x14ac:knownFonts="1">
    <font>
      <sz val="11"/>
      <color theme="1"/>
      <name val="Aptos Narrow"/>
      <family val="2"/>
      <charset val="161"/>
      <scheme val="minor"/>
    </font>
    <font>
      <b/>
      <sz val="12"/>
      <color rgb="FF0000FF"/>
      <name val="Times New Roman"/>
      <family val="1"/>
      <charset val="161"/>
    </font>
    <font>
      <b/>
      <sz val="12"/>
      <color theme="1"/>
      <name val="Times New Roman"/>
      <family val="1"/>
      <charset val="161"/>
    </font>
    <font>
      <sz val="12"/>
      <color theme="1"/>
      <name val="Times New Roman"/>
      <family val="1"/>
      <charset val="161"/>
    </font>
    <font>
      <b/>
      <sz val="12"/>
      <color rgb="FF00B050"/>
      <name val="Times New Roman"/>
      <family val="1"/>
    </font>
    <font>
      <sz val="12"/>
      <color rgb="FF00B05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5" fillId="0" borderId="0" xfId="0" applyFont="1"/>
    <xf numFmtId="3" fontId="5" fillId="0" borderId="0" xfId="0" applyNumberFormat="1" applyFont="1"/>
    <xf numFmtId="3" fontId="3" fillId="0" borderId="0" xfId="0" applyNumberFormat="1" applyFont="1"/>
    <xf numFmtId="164" fontId="5" fillId="0" borderId="1" xfId="0" applyNumberFormat="1" applyFont="1" applyBorder="1"/>
    <xf numFmtId="164" fontId="3" fillId="0" borderId="1" xfId="0" applyNumberFormat="1" applyFont="1" applyBorder="1"/>
    <xf numFmtId="164" fontId="4" fillId="0" borderId="0" xfId="0" applyNumberFormat="1" applyFont="1"/>
    <xf numFmtId="164" fontId="2" fillId="0" borderId="0" xfId="0" applyNumberFormat="1" applyFont="1"/>
    <xf numFmtId="164" fontId="5" fillId="0" borderId="0" xfId="0" applyNumberFormat="1" applyFont="1"/>
    <xf numFmtId="164" fontId="3" fillId="0" borderId="0" xfId="0" applyNumberFormat="1" applyFont="1"/>
    <xf numFmtId="0" fontId="7" fillId="0" borderId="0" xfId="0" applyFont="1"/>
    <xf numFmtId="164" fontId="8" fillId="0" borderId="0" xfId="0" applyNumberFormat="1" applyFont="1"/>
    <xf numFmtId="0" fontId="0" fillId="0" borderId="1" xfId="0" applyBorder="1"/>
    <xf numFmtId="165" fontId="5" fillId="0" borderId="1" xfId="0" applyNumberFormat="1" applyFont="1" applyBorder="1"/>
    <xf numFmtId="165" fontId="9" fillId="0" borderId="1" xfId="0" applyNumberFormat="1" applyFont="1" applyBorder="1"/>
    <xf numFmtId="0" fontId="2" fillId="0" borderId="2" xfId="0" applyFont="1" applyBorder="1"/>
    <xf numFmtId="4" fontId="4" fillId="0" borderId="2" xfId="0" applyNumberFormat="1" applyFont="1" applyBorder="1"/>
    <xf numFmtId="4" fontId="2" fillId="0" borderId="2" xfId="0" applyNumberFormat="1" applyFont="1" applyBorder="1"/>
    <xf numFmtId="3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ED62-2334-4D08-9CBE-6593813B5E09}">
  <dimension ref="B2:J22"/>
  <sheetViews>
    <sheetView tabSelected="1" topLeftCell="A5" workbookViewId="0">
      <selection activeCell="B2" sqref="B2:G22"/>
    </sheetView>
  </sheetViews>
  <sheetFormatPr defaultRowHeight="14.4" x14ac:dyDescent="0.3"/>
  <cols>
    <col min="2" max="2" width="52.33203125" customWidth="1"/>
    <col min="3" max="7" width="21.88671875" customWidth="1"/>
  </cols>
  <sheetData>
    <row r="2" spans="2:10" ht="18.600000000000001" customHeight="1" x14ac:dyDescent="0.3">
      <c r="B2" s="1" t="s">
        <v>0</v>
      </c>
      <c r="C2" s="1"/>
      <c r="D2" s="1"/>
      <c r="E2" s="1"/>
      <c r="F2" s="1"/>
      <c r="G2" s="1"/>
    </row>
    <row r="3" spans="2:10" ht="18.600000000000001" customHeight="1" x14ac:dyDescent="0.3">
      <c r="B3" s="2" t="s">
        <v>1</v>
      </c>
      <c r="C3" s="3"/>
      <c r="D3" s="3"/>
      <c r="E3" s="3"/>
      <c r="F3" s="3"/>
      <c r="G3" s="3"/>
    </row>
    <row r="4" spans="2:10" ht="18.600000000000001" customHeight="1" x14ac:dyDescent="0.3">
      <c r="B4" s="4" t="s">
        <v>2</v>
      </c>
      <c r="C4" s="5"/>
      <c r="D4" s="5"/>
      <c r="E4" s="5"/>
      <c r="F4" s="5"/>
      <c r="G4" s="5"/>
    </row>
    <row r="5" spans="2:10" ht="18.600000000000001" customHeight="1" x14ac:dyDescent="0.3">
      <c r="B5" s="6" t="s">
        <v>3</v>
      </c>
      <c r="C5" s="7">
        <v>2020</v>
      </c>
      <c r="D5" s="8">
        <v>2021</v>
      </c>
      <c r="E5" s="8">
        <v>2022</v>
      </c>
      <c r="F5" s="8">
        <v>2023</v>
      </c>
      <c r="G5" s="8">
        <v>2024</v>
      </c>
    </row>
    <row r="6" spans="2:10" ht="18.600000000000001" customHeight="1" x14ac:dyDescent="0.3">
      <c r="B6" s="9" t="s">
        <v>4</v>
      </c>
      <c r="C6" s="10"/>
      <c r="D6" s="3"/>
      <c r="E6" s="3"/>
      <c r="F6" s="3"/>
      <c r="G6" s="3"/>
    </row>
    <row r="7" spans="2:10" ht="18.600000000000001" customHeight="1" x14ac:dyDescent="0.3">
      <c r="B7" s="3" t="s">
        <v>5</v>
      </c>
      <c r="C7" s="11">
        <v>125982</v>
      </c>
      <c r="D7" s="12">
        <v>134599</v>
      </c>
      <c r="E7" s="27">
        <v>171883</v>
      </c>
      <c r="F7" s="12">
        <v>216329</v>
      </c>
      <c r="G7" s="27">
        <v>256401</v>
      </c>
      <c r="J7" s="12"/>
    </row>
    <row r="8" spans="2:10" ht="18.600000000000001" customHeight="1" x14ac:dyDescent="0.3">
      <c r="B8" s="5" t="s">
        <v>6</v>
      </c>
      <c r="C8" s="13">
        <v>-85552</v>
      </c>
      <c r="D8" s="14">
        <v>-93430</v>
      </c>
      <c r="E8" s="14">
        <v>-140421</v>
      </c>
      <c r="F8" s="14">
        <v>-143864</v>
      </c>
      <c r="G8" s="14">
        <v>-180271</v>
      </c>
    </row>
    <row r="9" spans="2:10" ht="18.600000000000001" customHeight="1" x14ac:dyDescent="0.3">
      <c r="B9" s="9" t="s">
        <v>7</v>
      </c>
      <c r="C9" s="15">
        <f>C7+C8</f>
        <v>40430</v>
      </c>
      <c r="D9" s="16">
        <f t="shared" ref="D9:F9" si="0">D7+D8</f>
        <v>41169</v>
      </c>
      <c r="E9" s="16">
        <f t="shared" si="0"/>
        <v>31462</v>
      </c>
      <c r="F9" s="16">
        <f t="shared" si="0"/>
        <v>72465</v>
      </c>
      <c r="G9" s="16">
        <f>G7+G8</f>
        <v>76130</v>
      </c>
    </row>
    <row r="10" spans="2:10" ht="18.600000000000001" customHeight="1" x14ac:dyDescent="0.3">
      <c r="B10" s="3" t="s">
        <v>8</v>
      </c>
      <c r="C10" s="17">
        <v>-3600</v>
      </c>
      <c r="D10" s="18">
        <v>-3669</v>
      </c>
      <c r="E10" s="18">
        <v>-3722</v>
      </c>
      <c r="F10" s="18">
        <v>-4545</v>
      </c>
      <c r="G10" s="18">
        <v>-5178</v>
      </c>
    </row>
    <row r="11" spans="2:10" ht="18.600000000000001" customHeight="1" x14ac:dyDescent="0.3">
      <c r="B11" s="3" t="s">
        <v>9</v>
      </c>
      <c r="C11" s="17">
        <v>-18849</v>
      </c>
      <c r="D11" s="18">
        <v>-21304</v>
      </c>
      <c r="E11" s="18">
        <v>-24396</v>
      </c>
      <c r="F11" s="18">
        <v>-28245</v>
      </c>
      <c r="G11" s="18">
        <v>-34084</v>
      </c>
    </row>
    <row r="12" spans="2:10" ht="18.600000000000001" customHeight="1" x14ac:dyDescent="0.3">
      <c r="B12" s="5" t="s">
        <v>10</v>
      </c>
      <c r="C12" s="13">
        <v>-295</v>
      </c>
      <c r="D12" s="14">
        <v>-300</v>
      </c>
      <c r="E12" s="14">
        <v>-380</v>
      </c>
      <c r="F12" s="14">
        <v>-455</v>
      </c>
      <c r="G12" s="14">
        <v>-500</v>
      </c>
    </row>
    <row r="13" spans="2:10" ht="18.600000000000001" customHeight="1" x14ac:dyDescent="0.3">
      <c r="B13" s="9" t="s">
        <v>11</v>
      </c>
      <c r="C13" s="15">
        <f>C9+C10+C11+C12</f>
        <v>17686</v>
      </c>
      <c r="D13" s="16">
        <f>D9+D10+D11+D12</f>
        <v>15896</v>
      </c>
      <c r="E13" s="16">
        <f t="shared" ref="E13:F13" si="1">E9+E10+E11+E12</f>
        <v>2964</v>
      </c>
      <c r="F13" s="16">
        <f t="shared" si="1"/>
        <v>39220</v>
      </c>
      <c r="G13" s="16">
        <f>G9+G10+G11+G12</f>
        <v>36368</v>
      </c>
    </row>
    <row r="14" spans="2:10" ht="18.600000000000001" customHeight="1" x14ac:dyDescent="0.3">
      <c r="B14" s="3" t="s">
        <v>12</v>
      </c>
      <c r="C14" s="17">
        <v>-283</v>
      </c>
      <c r="D14" s="18">
        <v>-278</v>
      </c>
      <c r="E14" s="18">
        <v>-263</v>
      </c>
      <c r="F14" s="18">
        <v>-401</v>
      </c>
      <c r="G14" s="18">
        <v>-266</v>
      </c>
    </row>
    <row r="15" spans="2:10" ht="18.600000000000001" customHeight="1" x14ac:dyDescent="0.3">
      <c r="B15" s="5" t="s">
        <v>13</v>
      </c>
      <c r="C15" s="13">
        <v>125</v>
      </c>
      <c r="D15" s="14">
        <v>171</v>
      </c>
      <c r="E15" s="14">
        <v>94</v>
      </c>
      <c r="F15" s="14">
        <v>453</v>
      </c>
      <c r="G15" s="14">
        <v>611</v>
      </c>
    </row>
    <row r="16" spans="2:10" ht="18.600000000000001" customHeight="1" x14ac:dyDescent="0.3">
      <c r="B16" s="9" t="s">
        <v>14</v>
      </c>
      <c r="C16" s="15">
        <f>C13+C14+C15</f>
        <v>17528</v>
      </c>
      <c r="D16" s="16">
        <f>D13+D14+D15</f>
        <v>15789</v>
      </c>
      <c r="E16" s="16">
        <f>E13+E14+E15</f>
        <v>2795</v>
      </c>
      <c r="F16" s="16">
        <f>F13+F14+F15</f>
        <v>39272</v>
      </c>
      <c r="G16" s="16">
        <f>G13+G14+G15</f>
        <v>36713</v>
      </c>
    </row>
    <row r="17" spans="2:7" ht="18.600000000000001" customHeight="1" x14ac:dyDescent="0.3">
      <c r="B17" s="19" t="s">
        <v>15</v>
      </c>
      <c r="C17" s="17">
        <v>-154</v>
      </c>
      <c r="D17" s="18">
        <v>-123</v>
      </c>
      <c r="E17" s="18">
        <v>-253</v>
      </c>
      <c r="F17" s="18">
        <v>-287</v>
      </c>
      <c r="G17" s="18">
        <v>-51</v>
      </c>
    </row>
    <row r="18" spans="2:7" ht="18.600000000000001" customHeight="1" x14ac:dyDescent="0.3">
      <c r="B18" s="9" t="s">
        <v>16</v>
      </c>
      <c r="C18" s="15">
        <f>C16+C17</f>
        <v>17374</v>
      </c>
      <c r="D18" s="20">
        <f>D16+D17</f>
        <v>15666</v>
      </c>
      <c r="E18" s="20">
        <f>E16+E17</f>
        <v>2542</v>
      </c>
      <c r="F18" s="20">
        <f t="shared" ref="F18:G18" si="2">F16+F17</f>
        <v>38985</v>
      </c>
      <c r="G18" s="20">
        <f t="shared" si="2"/>
        <v>36662</v>
      </c>
    </row>
    <row r="19" spans="2:7" ht="18.600000000000001" customHeight="1" x14ac:dyDescent="0.3">
      <c r="B19" s="19" t="s">
        <v>17</v>
      </c>
      <c r="C19" s="17">
        <v>-4125</v>
      </c>
      <c r="D19" s="18">
        <v>-4702</v>
      </c>
      <c r="E19" s="18">
        <v>-5238</v>
      </c>
      <c r="F19" s="18">
        <v>-5230</v>
      </c>
      <c r="G19" s="18">
        <v>-5730</v>
      </c>
    </row>
    <row r="20" spans="2:7" ht="18.600000000000001" customHeight="1" x14ac:dyDescent="0.3">
      <c r="B20" s="9" t="s">
        <v>18</v>
      </c>
      <c r="C20" s="15">
        <f>C18+C19</f>
        <v>13249</v>
      </c>
      <c r="D20" s="16">
        <f>D18+D19</f>
        <v>10964</v>
      </c>
      <c r="E20" s="16">
        <f>E18+E19</f>
        <v>-2696</v>
      </c>
      <c r="F20" s="16">
        <f t="shared" ref="F20:G20" si="3">F18+F19</f>
        <v>33755</v>
      </c>
      <c r="G20" s="16">
        <f t="shared" si="3"/>
        <v>30932</v>
      </c>
    </row>
    <row r="21" spans="2:7" ht="18.600000000000001" customHeight="1" x14ac:dyDescent="0.3">
      <c r="B21" s="21" t="s">
        <v>19</v>
      </c>
      <c r="C21" s="22">
        <f>-C20*0.29</f>
        <v>-3842.2099999999996</v>
      </c>
      <c r="D21" s="23">
        <f>-D20*0.29</f>
        <v>-3179.56</v>
      </c>
      <c r="E21" s="23">
        <f>-E20*0.29</f>
        <v>781.83999999999992</v>
      </c>
      <c r="F21" s="23">
        <f>-F20*0.29</f>
        <v>-9788.9499999999989</v>
      </c>
      <c r="G21" s="23">
        <f>-G20*0.29</f>
        <v>-8970.2799999999988</v>
      </c>
    </row>
    <row r="22" spans="2:7" ht="18.600000000000001" customHeight="1" x14ac:dyDescent="0.3">
      <c r="B22" s="24" t="s">
        <v>20</v>
      </c>
      <c r="C22" s="25">
        <f>C20+C21</f>
        <v>9406.7900000000009</v>
      </c>
      <c r="D22" s="26">
        <f>D20+D21</f>
        <v>7784.4400000000005</v>
      </c>
      <c r="E22" s="26">
        <f t="shared" ref="E22:G22" si="4">E20+E21</f>
        <v>-1914.16</v>
      </c>
      <c r="F22" s="26">
        <f t="shared" si="4"/>
        <v>23966.050000000003</v>
      </c>
      <c r="G22" s="26">
        <f t="shared" si="4"/>
        <v>21961.72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Kostopoulos</dc:creator>
  <cp:lastModifiedBy>Παναγιωτης Κωστ.</cp:lastModifiedBy>
  <dcterms:created xsi:type="dcterms:W3CDTF">2025-10-30T08:05:22Z</dcterms:created>
  <dcterms:modified xsi:type="dcterms:W3CDTF">2026-08-11T08:24:46Z</dcterms:modified>
</cp:coreProperties>
</file>