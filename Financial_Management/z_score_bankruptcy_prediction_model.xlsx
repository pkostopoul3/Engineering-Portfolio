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Financial_Management/"/>
    </mc:Choice>
  </mc:AlternateContent>
  <xr:revisionPtr revIDLastSave="0" documentId="8_{9105AA99-68E8-4BE4-8F1A-B52665BDB7C4}" xr6:coauthVersionLast="47" xr6:coauthVersionMax="47" xr10:uidLastSave="{00000000-0000-0000-0000-000000000000}"/>
  <bookViews>
    <workbookView xWindow="-108" yWindow="-108" windowWidth="23256" windowHeight="12456" activeTab="1" xr2:uid="{1F324A4A-C3BD-4851-B024-7DC39BCFC57C}"/>
  </bookViews>
  <sheets>
    <sheet name="Φοιτητές" sheetId="2" r:id="rId1"/>
    <sheet name="Ανάπτυξη μοντέλου πρόβλεψης της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0" i="1" l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J29" i="1" a="1"/>
  <c r="J29" i="1" s="1"/>
  <c r="S49" i="1"/>
  <c r="C36" i="1" l="1"/>
  <c r="C38" i="1"/>
  <c r="C39" i="1"/>
  <c r="C40" i="1"/>
  <c r="C41" i="1"/>
  <c r="C42" i="1"/>
  <c r="C43" i="1"/>
  <c r="C44" i="1"/>
  <c r="C45" i="1"/>
  <c r="C37" i="1"/>
  <c r="J33" i="1" a="1"/>
  <c r="J33" i="1" s="1"/>
  <c r="D23" i="1" a="1"/>
  <c r="D23" i="1" s="1"/>
  <c r="J21" i="1" l="1" a="1"/>
  <c r="J21" i="1" s="1"/>
  <c r="K15" i="1"/>
  <c r="L15" i="1"/>
  <c r="M15" i="1"/>
  <c r="K16" i="1"/>
  <c r="L16" i="1"/>
  <c r="M16" i="1"/>
  <c r="K17" i="1"/>
  <c r="L17" i="1"/>
  <c r="M17" i="1"/>
  <c r="K18" i="1"/>
  <c r="L18" i="1"/>
  <c r="M18" i="1"/>
  <c r="J16" i="1"/>
  <c r="J17" i="1"/>
  <c r="J18" i="1"/>
  <c r="J15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L6" i="1"/>
  <c r="K6" i="1"/>
  <c r="J6" i="1"/>
  <c r="M6" i="1"/>
  <c r="L5" i="1"/>
  <c r="M5" i="1"/>
  <c r="K5" i="1"/>
  <c r="J5" i="1"/>
  <c r="L3" i="1"/>
  <c r="M3" i="1"/>
  <c r="M4" i="1"/>
  <c r="L4" i="1"/>
  <c r="J4" i="1"/>
  <c r="K4" i="1"/>
  <c r="K3" i="1"/>
  <c r="J3" i="1"/>
  <c r="D18" i="1"/>
  <c r="E18" i="1"/>
  <c r="F18" i="1"/>
  <c r="C18" i="1"/>
  <c r="D17" i="1"/>
  <c r="E17" i="1"/>
  <c r="F17" i="1"/>
  <c r="C17" i="1"/>
  <c r="D15" i="1"/>
  <c r="E15" i="1"/>
  <c r="F15" i="1"/>
  <c r="C15" i="1"/>
  <c r="D14" i="1"/>
  <c r="E14" i="1"/>
  <c r="F14" i="1"/>
  <c r="C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<sst xmlns="http://schemas.openxmlformats.org/spreadsheetml/2006/main" count="182" uniqueCount="71">
  <si>
    <t>Λάγιος Σπύρος Ευτύχιος</t>
  </si>
  <si>
    <t>χ1</t>
  </si>
  <si>
    <t>χ2</t>
  </si>
  <si>
    <t>χ3</t>
  </si>
  <si>
    <t>χ4</t>
  </si>
  <si>
    <t>μη πτωχευμένες</t>
  </si>
  <si>
    <t>επιχειρηση 1</t>
  </si>
  <si>
    <t>επιχειρηση 2</t>
  </si>
  <si>
    <t>επιχειρηση 3</t>
  </si>
  <si>
    <t>επιχειρηση 4</t>
  </si>
  <si>
    <t>επιχειρηση 5</t>
  </si>
  <si>
    <t>επιχειρηση 6</t>
  </si>
  <si>
    <t>πτωχευμένες</t>
  </si>
  <si>
    <t>επιχειρηση 7</t>
  </si>
  <si>
    <t>επιχειρηση 8</t>
  </si>
  <si>
    <t>επιχειρηση 9</t>
  </si>
  <si>
    <t>επιχειρηση 10</t>
  </si>
  <si>
    <t>επιχειρηση 11</t>
  </si>
  <si>
    <t>μεση τιμη μη πτωχευμένη (μ1)</t>
  </si>
  <si>
    <t>διακυμανση/συνδιακυμανση μεταξυ των ομαδων</t>
  </si>
  <si>
    <t>επιχειρηση 12</t>
  </si>
  <si>
    <t>μέση τιμή πτωχευμένη (μ2)</t>
  </si>
  <si>
    <t>επιχειρηση 13</t>
  </si>
  <si>
    <t>επιχειρηση 14</t>
  </si>
  <si>
    <t>διαφορά μέσων  (μ1-μ2)</t>
  </si>
  <si>
    <t>επιχειρηση 15</t>
  </si>
  <si>
    <t>άθροισμα μέσων (μ1+μ2)</t>
  </si>
  <si>
    <t>επιχειρηση 16</t>
  </si>
  <si>
    <t>επιχειρηση 17</t>
  </si>
  <si>
    <t>αντιστροφος του πινακα διακύμανσης/συνδιακυμανσης</t>
  </si>
  <si>
    <t>επιχειρηση 18</t>
  </si>
  <si>
    <t>επιχειρηση 19</t>
  </si>
  <si>
    <t>(μ1-μ2)'</t>
  </si>
  <si>
    <t>επιχειρηση 20</t>
  </si>
  <si>
    <t>επιχειρηση 21</t>
  </si>
  <si>
    <t>επιχειρηση 22</t>
  </si>
  <si>
    <t>επιχειρηση 23</t>
  </si>
  <si>
    <t>επιχειρηση 24</t>
  </si>
  <si>
    <t>επιχειρηση 25</t>
  </si>
  <si>
    <t>Συντελεστες διακριτής συνάρτησης</t>
  </si>
  <si>
    <t>επιχειρηση 26</t>
  </si>
  <si>
    <t>a1</t>
  </si>
  <si>
    <t>επιχειρηση 27</t>
  </si>
  <si>
    <t>a2</t>
  </si>
  <si>
    <t>επιχειρηση 28</t>
  </si>
  <si>
    <t>a3</t>
  </si>
  <si>
    <t>επιχειρηση 29</t>
  </si>
  <si>
    <t>a4</t>
  </si>
  <si>
    <t xml:space="preserve"> </t>
  </si>
  <si>
    <t>επιχειρηση 30</t>
  </si>
  <si>
    <t>c</t>
  </si>
  <si>
    <t>επιχειρηση 31</t>
  </si>
  <si>
    <t>επιχειρηση 32</t>
  </si>
  <si>
    <t>Ζ-σκορ</t>
  </si>
  <si>
    <t>επιχειρηση 33</t>
  </si>
  <si>
    <t>Μη πτωχευμένη (σωστή ταξινόμηση)</t>
  </si>
  <si>
    <t>επιχειρηση 34</t>
  </si>
  <si>
    <t>επιχειρηση 35</t>
  </si>
  <si>
    <t>επιχειρηση 36</t>
  </si>
  <si>
    <t>επιχειρηση 37</t>
  </si>
  <si>
    <t>επιχειρηση 38</t>
  </si>
  <si>
    <t>Πτωχευμένη (σωστή ταξινόμηση)</t>
  </si>
  <si>
    <t>επιχειρηση 39</t>
  </si>
  <si>
    <t>επιχειρηση 40</t>
  </si>
  <si>
    <t>Ποσοστό ακρίβειας</t>
  </si>
  <si>
    <t>Πτωχευμένη (ΛΑΘΟΣ ταξινόμηση)</t>
  </si>
  <si>
    <t xml:space="preserve"> (ΓΚΡΙΖΑ ΖΩΝΗ)</t>
  </si>
  <si>
    <t>Μη πτωχευμένη (ΛΑΘΟΣ ταξινόμηση)</t>
  </si>
  <si>
    <t>Ονοματεπώνυμα:</t>
  </si>
  <si>
    <t>Παναγιώτης Κωστόπουλος</t>
  </si>
  <si>
    <t>Α.Μ.: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</si>
</sst>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  <charset val="161"/>
    </font>
    <font>
      <b/>
      <sz val="12"/>
      <color theme="1"/>
      <name val="Times New Roman"/>
      <family val="1"/>
      <charset val="161"/>
    </font>
    <font>
      <sz val="16"/>
      <color theme="1"/>
      <name val="Times New Roman"/>
      <family val="1"/>
      <charset val="161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0" fillId="6" borderId="0" xfId="0" applyFill="1"/>
    <xf numFmtId="0" fontId="0" fillId="7" borderId="0" xfId="0" applyFill="1"/>
    <xf numFmtId="0" fontId="3" fillId="0" borderId="0" xfId="0" applyFont="1"/>
    <xf numFmtId="0" fontId="3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8" borderId="1" xfId="0" applyFont="1" applyFill="1" applyBorder="1" applyAlignment="1">
      <alignment horizontal="right"/>
    </xf>
    <xf numFmtId="0" fontId="3" fillId="8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8" borderId="1" xfId="0" applyFont="1" applyFill="1" applyBorder="1" applyAlignment="1">
      <alignment horizontal="center"/>
    </xf>
    <xf numFmtId="0" fontId="5" fillId="3" borderId="6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2">
    <cellStyle name="Κανονικό" xfId="0" builtinId="0"/>
    <cellStyle name="Ποσοστό" xfId="1" builtinId="5"/>
  </cellStyles>
  <dxfs count="0"/>
  <tableStyles count="0" defaultTableStyle="TableStyleMedium2" defaultPivotStyle="PivotStyleLight16"/>
  <colors>
    <mruColors>
      <color rgb="FFF79BA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96CD-AA25-4A42-93E6-B3BF5F96B72D}">
  <dimension ref="B3:M22"/>
  <sheetViews>
    <sheetView workbookViewId="0">
      <selection activeCell="E4" sqref="E4:H4"/>
    </sheetView>
  </sheetViews>
  <sheetFormatPr defaultRowHeight="14.4" x14ac:dyDescent="0.3"/>
  <cols>
    <col min="11" max="11" width="16.88671875" bestFit="1" customWidth="1"/>
  </cols>
  <sheetData>
    <row r="3" spans="2:13" ht="21" x14ac:dyDescent="0.4">
      <c r="B3" s="29" t="s">
        <v>68</v>
      </c>
      <c r="C3" s="29"/>
      <c r="D3" s="30"/>
      <c r="E3" s="31" t="s">
        <v>69</v>
      </c>
      <c r="F3" s="31"/>
      <c r="G3" s="31"/>
      <c r="H3" s="31"/>
      <c r="I3" s="26"/>
      <c r="J3" s="28" t="s">
        <v>70</v>
      </c>
      <c r="K3" s="27">
        <v>2020010013</v>
      </c>
      <c r="L3" s="26"/>
      <c r="M3" s="26"/>
    </row>
    <row r="4" spans="2:13" ht="21" x14ac:dyDescent="0.4">
      <c r="B4" s="26"/>
      <c r="C4" s="26"/>
      <c r="D4" s="26"/>
      <c r="E4" s="31" t="s">
        <v>0</v>
      </c>
      <c r="F4" s="31"/>
      <c r="G4" s="31"/>
      <c r="H4" s="31"/>
      <c r="I4" s="26"/>
      <c r="J4" s="26"/>
      <c r="K4" s="27">
        <v>2020010080</v>
      </c>
      <c r="L4" s="26"/>
      <c r="M4" s="26"/>
    </row>
    <row r="5" spans="2:13" ht="21" x14ac:dyDescent="0.4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2:13" ht="21" x14ac:dyDescent="0.4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2:13" ht="21" x14ac:dyDescent="0.4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2:13" ht="21" x14ac:dyDescent="0.4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2:13" ht="21" x14ac:dyDescent="0.4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2:13" ht="21" x14ac:dyDescent="0.4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2:13" ht="21" x14ac:dyDescent="0.4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2:13" ht="21" x14ac:dyDescent="0.4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2:13" ht="21" x14ac:dyDescent="0.4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2:13" ht="21" x14ac:dyDescent="0.4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2:13" ht="21" x14ac:dyDescent="0.4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2:13" ht="21" x14ac:dyDescent="0.4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2:13" ht="21" x14ac:dyDescent="0.4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2:13" ht="21" x14ac:dyDescent="0.4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2:13" ht="21" x14ac:dyDescent="0.4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2:13" ht="21" x14ac:dyDescent="0.4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2:13" ht="21" x14ac:dyDescent="0.4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2:13" ht="21" x14ac:dyDescent="0.4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</sheetData>
  <mergeCells count="3">
    <mergeCell ref="B3:D3"/>
    <mergeCell ref="E3:H3"/>
    <mergeCell ref="E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E776-083A-4D7C-BBDE-D0EBA91A5021}">
  <dimension ref="B2:Z90"/>
  <sheetViews>
    <sheetView tabSelected="1" zoomScaleNormal="100" workbookViewId="0">
      <selection activeCell="P8" sqref="P8"/>
    </sheetView>
  </sheetViews>
  <sheetFormatPr defaultRowHeight="14.4" x14ac:dyDescent="0.3"/>
  <cols>
    <col min="2" max="2" width="31.6640625" customWidth="1"/>
    <col min="3" max="3" width="13.21875" customWidth="1"/>
    <col min="9" max="9" width="27.88671875" customWidth="1"/>
    <col min="10" max="13" width="11.44140625" customWidth="1"/>
    <col min="15" max="16" width="8.88671875" style="2"/>
    <col min="18" max="19" width="18.6640625" customWidth="1"/>
    <col min="20" max="23" width="9.88671875" customWidth="1"/>
  </cols>
  <sheetData>
    <row r="2" spans="2:22" ht="15.6" x14ac:dyDescent="0.3">
      <c r="B2" s="4"/>
      <c r="C2" s="14" t="s">
        <v>1</v>
      </c>
      <c r="D2" s="14" t="s">
        <v>2</v>
      </c>
      <c r="E2" s="14" t="s">
        <v>3</v>
      </c>
      <c r="F2" s="14" t="s">
        <v>4</v>
      </c>
      <c r="J2" s="32" t="s">
        <v>5</v>
      </c>
      <c r="K2" s="32"/>
      <c r="L2" s="3"/>
      <c r="M2" s="3"/>
      <c r="N2" s="3"/>
      <c r="R2" s="8"/>
      <c r="S2" s="13" t="s">
        <v>1</v>
      </c>
      <c r="T2" s="13" t="s">
        <v>2</v>
      </c>
      <c r="U2" s="13" t="s">
        <v>3</v>
      </c>
      <c r="V2" s="13" t="s">
        <v>4</v>
      </c>
    </row>
    <row r="3" spans="2:22" ht="17.399999999999999" customHeight="1" x14ac:dyDescent="0.3">
      <c r="B3" s="20" t="s">
        <v>6</v>
      </c>
      <c r="C3" s="5">
        <v>1.1582066033734009</v>
      </c>
      <c r="D3" s="5">
        <v>0.27471321825578343</v>
      </c>
      <c r="E3" s="5">
        <v>0.57687009555229452</v>
      </c>
      <c r="F3" s="5">
        <v>1.6950654096726794</v>
      </c>
      <c r="J3" s="5">
        <f>VAR(C3:C7)</f>
        <v>0.42938344543792795</v>
      </c>
      <c r="K3" s="5">
        <f>COVAR(C3:C7,D3:D7)</f>
        <v>0.44532703951987812</v>
      </c>
      <c r="L3" s="5">
        <f>COVAR(C3:C7,E3:E7)</f>
        <v>0.27690960495121641</v>
      </c>
      <c r="M3" s="5">
        <f>COVAR(C3:C7,F3:F7)</f>
        <v>-5.1712334103182135E-2</v>
      </c>
      <c r="N3" s="3"/>
      <c r="R3" s="20" t="s">
        <v>6</v>
      </c>
      <c r="S3" s="23">
        <v>0.91087634043651633</v>
      </c>
      <c r="T3" s="5">
        <v>0.99758983904030174</v>
      </c>
      <c r="U3" s="5">
        <v>-0.16091996460454538</v>
      </c>
      <c r="V3" s="5">
        <v>1.4672244813264115</v>
      </c>
    </row>
    <row r="4" spans="2:22" ht="17.399999999999999" customHeight="1" x14ac:dyDescent="0.3">
      <c r="B4" s="20" t="s">
        <v>7</v>
      </c>
      <c r="C4" s="5">
        <v>1.2415004018985201</v>
      </c>
      <c r="D4" s="5">
        <v>0.85386693879263476</v>
      </c>
      <c r="E4" s="5">
        <v>0.53788801576592959</v>
      </c>
      <c r="F4" s="5">
        <v>0.73408876030589454</v>
      </c>
      <c r="J4" s="5">
        <f>COVAR(D3:D7,C3:C7)</f>
        <v>0.44532703951987812</v>
      </c>
      <c r="K4" s="5">
        <f>VAR(D3:D7)</f>
        <v>0.77680138276738964</v>
      </c>
      <c r="L4" s="5">
        <f>COVAR(D3:D7,E3:E7)</f>
        <v>0.2964021663451607</v>
      </c>
      <c r="M4" s="5">
        <f>COVAR(D3:D7,F3:F7)</f>
        <v>-0.19169902405550426</v>
      </c>
      <c r="N4" s="3"/>
      <c r="R4" s="20" t="s">
        <v>7</v>
      </c>
      <c r="S4" s="23">
        <v>0.72353293742344249</v>
      </c>
      <c r="T4" s="5">
        <v>1.2747196958807763</v>
      </c>
      <c r="U4" s="5">
        <v>2.3492672223947011</v>
      </c>
      <c r="V4" s="5">
        <v>1.2960734946100274</v>
      </c>
    </row>
    <row r="5" spans="2:22" ht="17.399999999999999" customHeight="1" x14ac:dyDescent="0.3">
      <c r="B5" s="20" t="s">
        <v>8</v>
      </c>
      <c r="C5" s="5">
        <v>1.3021523298230022</v>
      </c>
      <c r="D5" s="5">
        <v>0.66363361636467744</v>
      </c>
      <c r="E5" s="5">
        <v>-0.2248051461938303</v>
      </c>
      <c r="F5" s="5">
        <v>1.4057915248267818</v>
      </c>
      <c r="J5" s="5">
        <f>COVAR(E3:E7,C3:C7)</f>
        <v>0.27690960495121641</v>
      </c>
      <c r="K5" s="5">
        <f>COVAR(E3:E7,D3:D7)</f>
        <v>0.2964021663451607</v>
      </c>
      <c r="L5" s="5">
        <f>VAR(E3:E7)</f>
        <v>0.62175242889921933</v>
      </c>
      <c r="M5" s="5">
        <f>COVAR(E3:E7,F3:F7)</f>
        <v>0.16759574948420863</v>
      </c>
      <c r="N5" s="3"/>
      <c r="R5" s="20" t="s">
        <v>8</v>
      </c>
      <c r="S5" s="23">
        <v>1.5940069058851805</v>
      </c>
      <c r="T5" s="5">
        <v>-0.79168637259863317</v>
      </c>
      <c r="U5" s="5">
        <v>1.7951484803925268</v>
      </c>
      <c r="V5" s="5">
        <v>0.12325847617466934</v>
      </c>
    </row>
    <row r="6" spans="2:22" ht="17.399999999999999" customHeight="1" x14ac:dyDescent="0.3">
      <c r="B6" s="20" t="s">
        <v>9</v>
      </c>
      <c r="C6" s="5">
        <v>2.7407455743523315</v>
      </c>
      <c r="D6" s="5">
        <v>2.5164778233156539</v>
      </c>
      <c r="E6" s="5">
        <v>1.6209643288457301</v>
      </c>
      <c r="F6" s="5">
        <v>1.143118086270988</v>
      </c>
      <c r="J6" s="5">
        <f>COVAR(F3:F7,C3:C7)</f>
        <v>-5.1712334103182135E-2</v>
      </c>
      <c r="K6" s="5">
        <f>COVAR(F3:F7,D3:D7)</f>
        <v>-0.19169902405550426</v>
      </c>
      <c r="L6" s="5">
        <f>COVAR(F3:F7,E3:E7)</f>
        <v>0.16759574948420863</v>
      </c>
      <c r="M6" s="5">
        <f>VAR(F3:F7)</f>
        <v>0.48841748792802009</v>
      </c>
      <c r="N6" s="3"/>
      <c r="R6" s="20" t="s">
        <v>9</v>
      </c>
      <c r="S6" s="23">
        <v>0.63377149470034055</v>
      </c>
      <c r="T6" s="5">
        <v>0.1796198628435377</v>
      </c>
      <c r="U6" s="5">
        <v>1.4279877430235501</v>
      </c>
      <c r="V6" s="5">
        <v>1.2662284259713488</v>
      </c>
    </row>
    <row r="7" spans="2:22" ht="17.399999999999999" customHeight="1" x14ac:dyDescent="0.3">
      <c r="B7" s="20" t="s">
        <v>10</v>
      </c>
      <c r="C7" s="5">
        <v>1.683713778926176</v>
      </c>
      <c r="D7" s="5">
        <v>1.5392132607084932</v>
      </c>
      <c r="E7" s="5">
        <v>-0.34888523461995646</v>
      </c>
      <c r="F7" s="5">
        <v>-0.10356040750048123</v>
      </c>
      <c r="J7" s="3"/>
      <c r="K7" s="3"/>
      <c r="L7" s="3"/>
      <c r="M7" s="3"/>
      <c r="N7" s="3"/>
      <c r="R7" s="20" t="s">
        <v>10</v>
      </c>
      <c r="S7" s="23">
        <v>0.53243445816042367</v>
      </c>
      <c r="T7" s="5">
        <v>1.2855392722267425</v>
      </c>
      <c r="U7" s="5">
        <v>1.8880329005478416</v>
      </c>
      <c r="V7" s="5">
        <v>0.50252458802424371</v>
      </c>
    </row>
    <row r="8" spans="2:22" ht="17.399999999999999" customHeight="1" x14ac:dyDescent="0.3">
      <c r="B8" s="6" t="s">
        <v>11</v>
      </c>
      <c r="C8" s="6">
        <v>-0.69151531331590377</v>
      </c>
      <c r="D8" s="6">
        <v>-1.8415554475504905</v>
      </c>
      <c r="E8" s="6">
        <v>-0.17629565970855765</v>
      </c>
      <c r="F8" s="6">
        <v>-1.0648776676825946</v>
      </c>
      <c r="J8" s="32" t="s">
        <v>12</v>
      </c>
      <c r="K8" s="32"/>
      <c r="L8" s="3"/>
      <c r="M8" s="3"/>
      <c r="N8" s="3"/>
      <c r="R8" s="20" t="s">
        <v>11</v>
      </c>
      <c r="S8" s="23">
        <v>-0.78149548446526751</v>
      </c>
      <c r="T8" s="5">
        <v>2.7170360932359472E-2</v>
      </c>
      <c r="U8" s="5">
        <v>0.86630427883937955</v>
      </c>
      <c r="V8" s="5">
        <v>0.48600816424004734</v>
      </c>
    </row>
    <row r="9" spans="2:22" ht="17.399999999999999" customHeight="1" x14ac:dyDescent="0.3">
      <c r="B9" s="6" t="s">
        <v>13</v>
      </c>
      <c r="C9" s="6">
        <v>-1.9573523129802197</v>
      </c>
      <c r="D9" s="6">
        <v>-3.2391395759768784</v>
      </c>
      <c r="E9" s="6">
        <v>-9.5275597937870771E-2</v>
      </c>
      <c r="F9" s="6">
        <v>-0.9063436462165555</v>
      </c>
      <c r="J9" s="6">
        <f>VAR(C8:C12)</f>
        <v>0.85170781232164261</v>
      </c>
      <c r="K9" s="6">
        <f>COVAR(C8:C12,D8:D12)</f>
        <v>-0.28539772512116085</v>
      </c>
      <c r="L9" s="6">
        <f>COVAR(C8:C12,E8:E12)</f>
        <v>0.46449489988465775</v>
      </c>
      <c r="M9" s="6">
        <f>COVAR(C8:C12,F8:F12)</f>
        <v>-0.22078978298278545</v>
      </c>
      <c r="N9" s="3"/>
      <c r="R9" s="20" t="s">
        <v>13</v>
      </c>
      <c r="S9" s="23">
        <v>-0.76093635673169047</v>
      </c>
      <c r="T9" s="5">
        <v>0.10650785750476643</v>
      </c>
      <c r="U9" s="5">
        <v>0.67663825373165309</v>
      </c>
      <c r="V9" s="5">
        <v>0.66177142596279737</v>
      </c>
    </row>
    <row r="10" spans="2:22" ht="17.399999999999999" customHeight="1" x14ac:dyDescent="0.3">
      <c r="B10" s="6" t="s">
        <v>14</v>
      </c>
      <c r="C10" s="6">
        <v>-2.5506930139963515</v>
      </c>
      <c r="D10" s="6">
        <v>-0.52105440570448991</v>
      </c>
      <c r="E10" s="6">
        <v>-3.7107307687401772</v>
      </c>
      <c r="F10" s="6">
        <v>-0.56437136461318005</v>
      </c>
      <c r="J10" s="6">
        <f>COVAR(D8:D12,C8:C12)</f>
        <v>-0.28539772512116085</v>
      </c>
      <c r="K10" s="6">
        <f>VAR(D8:D12)</f>
        <v>1.1009580246171269</v>
      </c>
      <c r="L10" s="6">
        <f>COVAR(D8:D12,E8:E12)</f>
        <v>-0.7430258048778815</v>
      </c>
      <c r="M10" s="6">
        <f>COVAR(D8:D12,F8:F12)</f>
        <v>0.22987214157050059</v>
      </c>
      <c r="N10" s="3"/>
      <c r="R10" s="20" t="s">
        <v>14</v>
      </c>
      <c r="S10" s="23">
        <v>2.268908818019554</v>
      </c>
      <c r="T10" s="5">
        <v>1.5774791134172119</v>
      </c>
      <c r="U10" s="5">
        <v>1.4459138835954946</v>
      </c>
      <c r="V10" s="5">
        <v>-0.17225226858863607</v>
      </c>
    </row>
    <row r="11" spans="2:22" ht="17.399999999999999" customHeight="1" x14ac:dyDescent="0.3">
      <c r="B11" s="6" t="s">
        <v>15</v>
      </c>
      <c r="C11" s="6">
        <v>-0.40206407700316049</v>
      </c>
      <c r="D11" s="6">
        <v>-2.1003317013091873</v>
      </c>
      <c r="E11" s="6">
        <v>-1.1123441961681237</v>
      </c>
      <c r="F11" s="6">
        <v>-1.0879720118973637</v>
      </c>
      <c r="J11" s="6">
        <f>COVAR(E8:E12,C8:C12)</f>
        <v>0.46449489988465775</v>
      </c>
      <c r="K11" s="6">
        <f>COVAR(E8:E12,D8:D12)</f>
        <v>-0.7430258048778815</v>
      </c>
      <c r="L11" s="6">
        <f>VAR(E8:E12)</f>
        <v>2.6709108535133619</v>
      </c>
      <c r="M11" s="6">
        <f>COVAR(E8:E12,F8:F12)</f>
        <v>2.476436235804853E-2</v>
      </c>
      <c r="N11" s="3"/>
      <c r="R11" s="20" t="s">
        <v>15</v>
      </c>
      <c r="S11" s="23">
        <v>1.4565004019241314</v>
      </c>
      <c r="T11" s="5">
        <v>0.51305994727590587</v>
      </c>
      <c r="U11" s="5">
        <v>2.9642538973130286</v>
      </c>
      <c r="V11" s="5">
        <v>0.52259827296074945</v>
      </c>
    </row>
    <row r="12" spans="2:22" ht="17.399999999999999" customHeight="1" x14ac:dyDescent="0.3">
      <c r="B12" s="6" t="s">
        <v>16</v>
      </c>
      <c r="C12" s="6">
        <v>-1.9859286365099251</v>
      </c>
      <c r="D12" s="6">
        <v>-1.0116665432869922</v>
      </c>
      <c r="E12" s="6">
        <v>0.35633399622747675</v>
      </c>
      <c r="F12" s="6">
        <v>-1.5933553891954944E-2</v>
      </c>
      <c r="J12" s="6">
        <f>COVAR(F8:F12,C8:C12)</f>
        <v>-0.22078978298278545</v>
      </c>
      <c r="K12" s="6">
        <f>COVAR(F8:F12,D8:D12)</f>
        <v>0.22987214157050059</v>
      </c>
      <c r="L12" s="6">
        <f>COVAR(F8:F12,E8:E12)</f>
        <v>2.476436235804853E-2</v>
      </c>
      <c r="M12" s="6">
        <f>VAR(F8:F12)</f>
        <v>0.20217144302956369</v>
      </c>
      <c r="N12" s="3"/>
      <c r="R12" s="20" t="s">
        <v>16</v>
      </c>
      <c r="S12" s="23">
        <v>1.4262278707756195</v>
      </c>
      <c r="T12" s="5">
        <v>2.5341038306360133</v>
      </c>
      <c r="U12" s="5">
        <v>0.6446297245711321</v>
      </c>
      <c r="V12" s="5">
        <v>0.42423755783238448</v>
      </c>
    </row>
    <row r="13" spans="2:22" ht="17.399999999999999" customHeight="1" x14ac:dyDescent="0.3">
      <c r="B13" s="3"/>
      <c r="C13" s="3"/>
      <c r="D13" s="3"/>
      <c r="E13" s="3"/>
      <c r="F13" s="3"/>
      <c r="J13" s="3"/>
      <c r="K13" s="3"/>
      <c r="L13" s="3"/>
      <c r="M13" s="3"/>
      <c r="N13" s="3"/>
      <c r="R13" s="20" t="s">
        <v>17</v>
      </c>
      <c r="S13" s="23">
        <v>1.5106778644403676</v>
      </c>
      <c r="T13" s="5">
        <v>3.3900621725479141E-2</v>
      </c>
      <c r="U13" s="5">
        <v>0.751089490018785</v>
      </c>
      <c r="V13" s="5">
        <v>2.3100134310661815</v>
      </c>
    </row>
    <row r="14" spans="2:22" ht="17.399999999999999" customHeight="1" x14ac:dyDescent="0.3">
      <c r="B14" s="20" t="s">
        <v>18</v>
      </c>
      <c r="C14" s="8">
        <f>AVERAGE(C3:C7)</f>
        <v>1.6252637376746861</v>
      </c>
      <c r="D14" s="8">
        <f t="shared" ref="D14:F14" si="0">AVERAGE(D3:D7)</f>
        <v>1.1695809714874486</v>
      </c>
      <c r="E14" s="8">
        <f t="shared" si="0"/>
        <v>0.43240641187003348</v>
      </c>
      <c r="F14" s="8">
        <f t="shared" si="0"/>
        <v>0.9749006747151725</v>
      </c>
      <c r="J14" s="40" t="s">
        <v>19</v>
      </c>
      <c r="K14" s="40"/>
      <c r="L14" s="40"/>
      <c r="M14" s="40"/>
      <c r="N14" s="40"/>
      <c r="R14" s="20" t="s">
        <v>20</v>
      </c>
      <c r="S14" s="23">
        <v>1.8425377018284053</v>
      </c>
      <c r="T14" s="5">
        <v>0.52978669170988724</v>
      </c>
      <c r="U14" s="5">
        <v>0.71923898556269705</v>
      </c>
      <c r="V14" s="5">
        <v>-0.45711510413093492</v>
      </c>
    </row>
    <row r="15" spans="2:22" ht="17.399999999999999" customHeight="1" x14ac:dyDescent="0.3">
      <c r="B15" s="6" t="s">
        <v>21</v>
      </c>
      <c r="C15" s="8">
        <f>AVERAGE(C8:C12)</f>
        <v>-1.5175106707611121</v>
      </c>
      <c r="D15" s="8">
        <f t="shared" ref="D15:F15" si="1">AVERAGE(D8:D12)</f>
        <v>-1.7427495347656077</v>
      </c>
      <c r="E15" s="8">
        <f t="shared" si="1"/>
        <v>-0.94766244526545051</v>
      </c>
      <c r="F15" s="8">
        <f t="shared" si="1"/>
        <v>-0.72789964886032976</v>
      </c>
      <c r="J15" s="9">
        <f t="shared" ref="J15:M18" si="2">(J3+J9)/2</f>
        <v>0.64054562887978528</v>
      </c>
      <c r="K15" s="9">
        <f t="shared" si="2"/>
        <v>7.9964657199358635E-2</v>
      </c>
      <c r="L15" s="9">
        <f t="shared" si="2"/>
        <v>0.37070225241793708</v>
      </c>
      <c r="M15" s="9">
        <f t="shared" si="2"/>
        <v>-0.13625105854298381</v>
      </c>
      <c r="N15" s="3"/>
      <c r="R15" s="20" t="s">
        <v>22</v>
      </c>
      <c r="S15" s="23">
        <v>1.0404406819143333</v>
      </c>
      <c r="T15" s="5">
        <v>1.4700416411651531</v>
      </c>
      <c r="U15" s="5">
        <v>0.41155010674265213</v>
      </c>
      <c r="V15" s="5">
        <v>3.0366132957860827</v>
      </c>
    </row>
    <row r="16" spans="2:22" ht="17.399999999999999" customHeight="1" x14ac:dyDescent="0.3">
      <c r="B16" s="3"/>
      <c r="C16" s="3"/>
      <c r="D16" s="3"/>
      <c r="E16" s="3"/>
      <c r="F16" s="3"/>
      <c r="J16" s="9">
        <f t="shared" si="2"/>
        <v>7.9964657199358635E-2</v>
      </c>
      <c r="K16" s="9">
        <f t="shared" si="2"/>
        <v>0.93887970369225826</v>
      </c>
      <c r="L16" s="9">
        <f t="shared" si="2"/>
        <v>-0.2233118192663604</v>
      </c>
      <c r="M16" s="9">
        <f t="shared" si="2"/>
        <v>1.9086558757498165E-2</v>
      </c>
      <c r="N16" s="3"/>
      <c r="R16" s="20" t="s">
        <v>23</v>
      </c>
      <c r="S16" s="23">
        <v>1.2433125700918026</v>
      </c>
      <c r="T16" s="5">
        <v>0.97241957316873595</v>
      </c>
      <c r="U16" s="5">
        <v>0.66169070830801502</v>
      </c>
      <c r="V16" s="5">
        <v>0.13843794274725951</v>
      </c>
    </row>
    <row r="17" spans="2:22" ht="17.399999999999999" customHeight="1" x14ac:dyDescent="0.3">
      <c r="B17" s="14" t="s">
        <v>24</v>
      </c>
      <c r="C17" s="4">
        <f>C14-C15</f>
        <v>3.1427744084357983</v>
      </c>
      <c r="D17" s="4">
        <f t="shared" ref="D17:F17" si="3">D14-D15</f>
        <v>2.9123305062530562</v>
      </c>
      <c r="E17" s="4">
        <f t="shared" si="3"/>
        <v>1.380068857135484</v>
      </c>
      <c r="F17" s="4">
        <f t="shared" si="3"/>
        <v>1.7028003235755023</v>
      </c>
      <c r="J17" s="9">
        <f t="shared" si="2"/>
        <v>0.37070225241793708</v>
      </c>
      <c r="K17" s="9">
        <f t="shared" si="2"/>
        <v>-0.2233118192663604</v>
      </c>
      <c r="L17" s="9">
        <f t="shared" si="2"/>
        <v>1.6463316412062907</v>
      </c>
      <c r="M17" s="9">
        <f t="shared" si="2"/>
        <v>9.6180055921128577E-2</v>
      </c>
      <c r="N17" s="3"/>
      <c r="R17" s="20" t="s">
        <v>25</v>
      </c>
      <c r="S17" s="23">
        <v>0.80558527568064164</v>
      </c>
      <c r="T17" s="5">
        <v>1.9095720088225789</v>
      </c>
      <c r="U17" s="5">
        <v>0.36777157927281223</v>
      </c>
      <c r="V17" s="5">
        <v>2.3364524420467205</v>
      </c>
    </row>
    <row r="18" spans="2:22" ht="17.399999999999999" customHeight="1" x14ac:dyDescent="0.3">
      <c r="B18" s="14" t="s">
        <v>26</v>
      </c>
      <c r="C18" s="4">
        <f>C14+C15</f>
        <v>0.107753066913574</v>
      </c>
      <c r="D18" s="4">
        <f t="shared" ref="D18:F18" si="4">D14+D15</f>
        <v>-0.57316856327815913</v>
      </c>
      <c r="E18" s="4">
        <f t="shared" si="4"/>
        <v>-0.51525603339541703</v>
      </c>
      <c r="F18" s="4">
        <f t="shared" si="4"/>
        <v>0.24700102585484274</v>
      </c>
      <c r="J18" s="9">
        <f t="shared" si="2"/>
        <v>-0.13625105854298381</v>
      </c>
      <c r="K18" s="9">
        <f t="shared" si="2"/>
        <v>1.9086558757498165E-2</v>
      </c>
      <c r="L18" s="9">
        <f t="shared" si="2"/>
        <v>9.6180055921128577E-2</v>
      </c>
      <c r="M18" s="9">
        <f t="shared" si="2"/>
        <v>0.34529446547879189</v>
      </c>
      <c r="N18" s="3"/>
      <c r="R18" s="20" t="s">
        <v>27</v>
      </c>
      <c r="S18" s="23">
        <v>2.2792429515684489</v>
      </c>
      <c r="T18" s="5">
        <v>-0.81145423994166777</v>
      </c>
      <c r="U18" s="5">
        <v>-5.8283487509470433E-2</v>
      </c>
      <c r="V18" s="5">
        <v>0.35642790660494938</v>
      </c>
    </row>
    <row r="19" spans="2:22" ht="17.399999999999999" customHeight="1" x14ac:dyDescent="0.3">
      <c r="B19" s="3"/>
      <c r="C19" s="3"/>
      <c r="D19" s="3"/>
      <c r="E19" s="3"/>
      <c r="F19" s="3"/>
      <c r="J19" s="3"/>
      <c r="K19" s="3"/>
      <c r="L19" s="3"/>
      <c r="M19" s="3"/>
      <c r="N19" s="3"/>
      <c r="R19" s="20" t="s">
        <v>28</v>
      </c>
      <c r="S19" s="23">
        <v>-0.28254214359913021</v>
      </c>
      <c r="T19" s="5">
        <v>2.8627179088070989</v>
      </c>
      <c r="U19" s="5">
        <v>2.1155952961416915</v>
      </c>
      <c r="V19" s="5">
        <v>-8.1743903341703117E-2</v>
      </c>
    </row>
    <row r="20" spans="2:22" ht="17.399999999999999" customHeight="1" x14ac:dyDescent="0.3">
      <c r="B20" s="3"/>
      <c r="C20" s="3"/>
      <c r="D20" s="3"/>
      <c r="E20" s="3"/>
      <c r="F20" s="3"/>
      <c r="J20" s="37" t="s">
        <v>29</v>
      </c>
      <c r="K20" s="38"/>
      <c r="L20" s="38"/>
      <c r="M20" s="38"/>
      <c r="N20" s="39"/>
      <c r="R20" s="20" t="s">
        <v>30</v>
      </c>
      <c r="S20" s="23">
        <v>0.89873458616784774</v>
      </c>
      <c r="T20" s="5">
        <v>0.91041477187536657</v>
      </c>
      <c r="U20" s="5">
        <v>2.5461273505934514</v>
      </c>
      <c r="V20" s="5">
        <v>0.75266746332636103</v>
      </c>
    </row>
    <row r="21" spans="2:22" ht="17.399999999999999" customHeight="1" x14ac:dyDescent="0.3">
      <c r="B21" s="3"/>
      <c r="C21" s="3"/>
      <c r="D21" s="3"/>
      <c r="E21" s="3"/>
      <c r="F21" s="3"/>
      <c r="J21" s="9" cm="1">
        <f t="array" ref="J21:M24">MINVERSE(J15:M18)</f>
        <v>2.172071981785165</v>
      </c>
      <c r="K21" s="9">
        <v>-0.34824464073458894</v>
      </c>
      <c r="L21" s="9">
        <v>-0.59723406024931702</v>
      </c>
      <c r="M21" s="9">
        <v>1.0426923679784421</v>
      </c>
      <c r="N21" s="3"/>
      <c r="R21" s="20" t="s">
        <v>31</v>
      </c>
      <c r="S21" s="23">
        <v>1.8106712812150363</v>
      </c>
      <c r="T21" s="5">
        <v>0.91179720382206142</v>
      </c>
      <c r="U21" s="5">
        <v>2.2337613952695392</v>
      </c>
      <c r="V21" s="5">
        <v>2.1022962098650169</v>
      </c>
    </row>
    <row r="22" spans="2:22" ht="17.399999999999999" customHeight="1" x14ac:dyDescent="0.3">
      <c r="B22" s="3"/>
      <c r="C22" s="3"/>
      <c r="D22" s="13" t="s">
        <v>32</v>
      </c>
      <c r="E22" s="3"/>
      <c r="F22" s="3"/>
      <c r="J22" s="9">
        <v>-0.34824464073458888</v>
      </c>
      <c r="K22" s="9">
        <v>1.1601352821259872</v>
      </c>
      <c r="L22" s="9">
        <v>0.25164622017578059</v>
      </c>
      <c r="M22" s="9">
        <v>-0.27163782819322757</v>
      </c>
      <c r="N22" s="3"/>
      <c r="R22" s="20" t="s">
        <v>33</v>
      </c>
      <c r="S22" s="23">
        <v>2.2811506167054176</v>
      </c>
      <c r="T22" s="5">
        <v>0.43153625281411223</v>
      </c>
      <c r="U22" s="5">
        <v>-0.35040863824542612</v>
      </c>
      <c r="V22" s="5">
        <v>-1.1729283616878092</v>
      </c>
    </row>
    <row r="23" spans="2:22" ht="17.399999999999999" customHeight="1" x14ac:dyDescent="0.3">
      <c r="B23" s="3"/>
      <c r="C23" s="3"/>
      <c r="D23" s="10" cm="1">
        <f t="array" ref="D23:D26">TRANSPOSE(C17:F17)</f>
        <v>3.1427744084357983</v>
      </c>
      <c r="E23" s="3"/>
      <c r="F23" s="3"/>
      <c r="J23" s="9">
        <v>-0.59723406024931691</v>
      </c>
      <c r="K23" s="9">
        <v>0.25164622017578053</v>
      </c>
      <c r="L23" s="9">
        <v>0.80368177295609544</v>
      </c>
      <c r="M23" s="9">
        <v>-0.47343646505718651</v>
      </c>
      <c r="N23" s="3"/>
      <c r="R23" s="6" t="s">
        <v>34</v>
      </c>
      <c r="S23" s="24">
        <v>-0.16550905254553072</v>
      </c>
      <c r="T23" s="19">
        <v>-1.6984782885410823</v>
      </c>
      <c r="U23" s="19">
        <v>-0.59512251734849997</v>
      </c>
      <c r="V23" s="19">
        <v>-1.5445281203719787</v>
      </c>
    </row>
    <row r="24" spans="2:22" ht="17.399999999999999" customHeight="1" x14ac:dyDescent="0.3">
      <c r="B24" s="3"/>
      <c r="C24" s="3"/>
      <c r="D24" s="10">
        <v>2.9123305062530562</v>
      </c>
      <c r="E24" s="3"/>
      <c r="F24" s="3"/>
      <c r="J24" s="9">
        <v>1.0426923679784421</v>
      </c>
      <c r="K24" s="9">
        <v>-0.27163782819322757</v>
      </c>
      <c r="L24" s="9">
        <v>-0.47343646505718651</v>
      </c>
      <c r="M24" s="9">
        <v>3.4544072818273581</v>
      </c>
      <c r="N24" s="3"/>
      <c r="R24" s="6" t="s">
        <v>35</v>
      </c>
      <c r="S24" s="24">
        <v>0.13490159492357634</v>
      </c>
      <c r="T24" s="19">
        <v>-0.16756564743991476</v>
      </c>
      <c r="U24" s="19">
        <v>-1.9421000868314877</v>
      </c>
      <c r="V24" s="19">
        <v>-0.5490952642285265</v>
      </c>
    </row>
    <row r="25" spans="2:22" ht="17.399999999999999" customHeight="1" x14ac:dyDescent="0.3">
      <c r="B25" s="3"/>
      <c r="C25" s="3"/>
      <c r="D25" s="10">
        <v>1.380068857135484</v>
      </c>
      <c r="E25" s="3"/>
      <c r="F25" s="3"/>
      <c r="J25" s="3"/>
      <c r="K25" s="3"/>
      <c r="L25" s="3"/>
      <c r="M25" s="3"/>
      <c r="N25" s="3"/>
      <c r="R25" s="6" t="s">
        <v>36</v>
      </c>
      <c r="S25" s="24">
        <v>-0.92139350979414303</v>
      </c>
      <c r="T25" s="19">
        <v>-0.61949924909276888</v>
      </c>
      <c r="U25" s="19">
        <v>-1.1924661319208099</v>
      </c>
      <c r="V25" s="19">
        <v>-0.64087919579469599</v>
      </c>
    </row>
    <row r="26" spans="2:22" ht="17.399999999999999" customHeight="1" x14ac:dyDescent="0.3">
      <c r="B26" s="3"/>
      <c r="C26" s="3"/>
      <c r="D26" s="11">
        <v>1.7028003235755023</v>
      </c>
      <c r="E26" s="3"/>
      <c r="F26" s="3"/>
      <c r="J26" s="3"/>
      <c r="K26" s="3"/>
      <c r="L26" s="3"/>
      <c r="M26" s="3"/>
      <c r="N26" s="3"/>
      <c r="R26" s="6" t="s">
        <v>37</v>
      </c>
      <c r="S26" s="24">
        <v>-2.297130438615568</v>
      </c>
      <c r="T26" s="19">
        <v>-0.48032495922234375</v>
      </c>
      <c r="U26" s="19">
        <v>-0.74350771481113043</v>
      </c>
      <c r="V26" s="19">
        <v>-1.2355966444156365</v>
      </c>
    </row>
    <row r="27" spans="2:22" ht="17.399999999999999" customHeight="1" x14ac:dyDescent="0.3">
      <c r="J27" s="3"/>
      <c r="K27" s="3"/>
      <c r="L27" s="3"/>
      <c r="M27" s="3"/>
      <c r="N27" s="3"/>
      <c r="R27" s="6" t="s">
        <v>38</v>
      </c>
      <c r="S27" s="24">
        <v>-2.642592906136997</v>
      </c>
      <c r="T27" s="19">
        <v>-0.66848690746701322</v>
      </c>
      <c r="U27" s="19">
        <v>-0.19663878245046362</v>
      </c>
      <c r="V27" s="19">
        <v>-2.4832959548803046E-2</v>
      </c>
    </row>
    <row r="28" spans="2:22" ht="17.399999999999999" customHeight="1" x14ac:dyDescent="0.3">
      <c r="I28" s="33" t="s">
        <v>39</v>
      </c>
      <c r="J28" s="34"/>
      <c r="K28" s="3"/>
      <c r="L28" s="3"/>
      <c r="M28" s="3"/>
      <c r="N28" s="3"/>
      <c r="R28" s="6" t="s">
        <v>40</v>
      </c>
      <c r="S28" s="24">
        <v>0.88892954611219466</v>
      </c>
      <c r="T28" s="19">
        <v>-0.45262970868498087</v>
      </c>
      <c r="U28" s="19">
        <v>-0.55239559312758502</v>
      </c>
      <c r="V28" s="19">
        <v>0.44963451020885259</v>
      </c>
    </row>
    <row r="29" spans="2:22" ht="17.399999999999999" customHeight="1" x14ac:dyDescent="0.3">
      <c r="I29" s="15" t="s">
        <v>41</v>
      </c>
      <c r="J29" s="16" cm="1">
        <f t="array" ref="J29:J32">MMULT(J21:M24,D23:D26)</f>
        <v>6.7634015213971033</v>
      </c>
      <c r="K29" s="3"/>
      <c r="L29" s="3"/>
      <c r="M29" s="3"/>
      <c r="N29" s="3"/>
      <c r="R29" s="6" t="s">
        <v>42</v>
      </c>
      <c r="S29" s="24">
        <v>-1.9018481250677723</v>
      </c>
      <c r="T29" s="19">
        <v>-1.0738498329155846</v>
      </c>
      <c r="U29" s="19">
        <v>-0.75786977302050218</v>
      </c>
      <c r="V29" s="19">
        <v>-1.5909078026888892</v>
      </c>
    </row>
    <row r="30" spans="2:22" ht="17.399999999999999" customHeight="1" x14ac:dyDescent="0.3">
      <c r="I30" s="15" t="s">
        <v>43</v>
      </c>
      <c r="J30" s="16">
        <v>2.1689871584781026</v>
      </c>
      <c r="K30" s="3"/>
      <c r="L30" s="3"/>
      <c r="M30" s="3"/>
      <c r="N30" s="3"/>
      <c r="R30" s="6" t="s">
        <v>44</v>
      </c>
      <c r="S30" s="24">
        <v>-0.95932967067346908</v>
      </c>
      <c r="T30" s="19">
        <v>-2.3777548701909836</v>
      </c>
      <c r="U30" s="19">
        <v>-0.7006489138584584</v>
      </c>
      <c r="V30" s="19">
        <v>-0.92200741871783976</v>
      </c>
    </row>
    <row r="31" spans="2:22" ht="17.399999999999999" customHeight="1" x14ac:dyDescent="0.3">
      <c r="I31" s="15" t="s">
        <v>45</v>
      </c>
      <c r="J31" s="16">
        <v>-0.84112653658423886</v>
      </c>
      <c r="K31" s="3"/>
      <c r="L31" s="3"/>
      <c r="M31" s="3"/>
      <c r="N31" s="3"/>
      <c r="R31" s="6" t="s">
        <v>46</v>
      </c>
      <c r="S31" s="24">
        <v>-2.4698389350087382</v>
      </c>
      <c r="T31" s="19">
        <v>-0.62442871037637815</v>
      </c>
      <c r="U31" s="19">
        <v>-0.38264977572544012</v>
      </c>
      <c r="V31" s="19">
        <v>-1.3779518920055125</v>
      </c>
    </row>
    <row r="32" spans="2:22" ht="17.399999999999999" customHeight="1" x14ac:dyDescent="0.3">
      <c r="I32" s="15" t="s">
        <v>47</v>
      </c>
      <c r="J32" s="16">
        <v>7.7146386722539688</v>
      </c>
      <c r="K32" s="3"/>
      <c r="L32" s="3"/>
      <c r="M32" s="3"/>
      <c r="N32" s="3"/>
      <c r="P32" s="2" t="s">
        <v>48</v>
      </c>
      <c r="R32" s="6" t="s">
        <v>49</v>
      </c>
      <c r="S32" s="24">
        <v>-1.1937905835802667</v>
      </c>
      <c r="T32" s="19">
        <v>-1.7807489055267069</v>
      </c>
      <c r="U32" s="19">
        <v>0.24530743050854653</v>
      </c>
      <c r="V32" s="19">
        <v>0.76855792233254761</v>
      </c>
    </row>
    <row r="33" spans="2:23" ht="17.399999999999999" customHeight="1" x14ac:dyDescent="0.3">
      <c r="I33" s="15" t="s">
        <v>50</v>
      </c>
      <c r="J33" s="16" cm="1">
        <f t="array" ref="J33">MMULT(C18:F18,_xlfn.ANCHORARRAY(J29))/2</f>
        <v>0.91225059613749582</v>
      </c>
      <c r="K33" s="3"/>
      <c r="L33" s="3"/>
      <c r="M33" s="3"/>
      <c r="N33" s="3"/>
      <c r="R33" s="6" t="s">
        <v>51</v>
      </c>
      <c r="S33" s="24">
        <v>-2.0348708201490808</v>
      </c>
      <c r="T33" s="19">
        <v>8.7114469555672258E-2</v>
      </c>
      <c r="U33" s="19">
        <v>-2.9543404050637037</v>
      </c>
      <c r="V33" s="19">
        <v>-0.32188075035810471</v>
      </c>
    </row>
    <row r="34" spans="2:23" ht="17.399999999999999" customHeight="1" x14ac:dyDescent="0.3">
      <c r="R34" s="6" t="s">
        <v>52</v>
      </c>
      <c r="S34" s="24">
        <v>-2.3092926565150265</v>
      </c>
      <c r="T34" s="19">
        <v>-1.0541490408068057</v>
      </c>
      <c r="U34" s="19">
        <v>-0.63483332976466045</v>
      </c>
      <c r="V34" s="19">
        <v>-2.893049557111226</v>
      </c>
    </row>
    <row r="35" spans="2:23" ht="17.399999999999999" customHeight="1" x14ac:dyDescent="0.3">
      <c r="B35" s="36" t="s">
        <v>53</v>
      </c>
      <c r="C35" s="36"/>
      <c r="D35" s="3"/>
      <c r="E35" s="3"/>
      <c r="F35" s="3"/>
      <c r="G35" s="3"/>
      <c r="R35" s="6" t="s">
        <v>54</v>
      </c>
      <c r="S35" s="24">
        <v>-1.6038931132934522</v>
      </c>
      <c r="T35" s="19">
        <v>-0.45094032227643766</v>
      </c>
      <c r="U35" s="19">
        <v>-1.6249570105865132</v>
      </c>
      <c r="V35" s="19">
        <v>-1.2356750883336645</v>
      </c>
    </row>
    <row r="36" spans="2:23" ht="17.399999999999999" customHeight="1" x14ac:dyDescent="0.3">
      <c r="B36" s="12" t="s">
        <v>6</v>
      </c>
      <c r="C36" s="21">
        <f>0.9123+6.7634*C3+2.1689*D3-0.8411*E3+7.7146*F3</f>
        <v>21.933086212422445</v>
      </c>
      <c r="D36" s="35" t="s">
        <v>55</v>
      </c>
      <c r="E36" s="35"/>
      <c r="F36" s="35"/>
      <c r="G36" s="35"/>
      <c r="R36" s="6" t="s">
        <v>56</v>
      </c>
      <c r="S36" s="24">
        <v>-5.7661170809296891E-2</v>
      </c>
      <c r="T36" s="19">
        <v>-0.50321807773434557</v>
      </c>
      <c r="U36" s="19">
        <v>-1.6018740350555163</v>
      </c>
      <c r="V36" s="19">
        <v>0.12837142296484672</v>
      </c>
    </row>
    <row r="37" spans="2:23" ht="17.399999999999999" customHeight="1" x14ac:dyDescent="0.3">
      <c r="B37" s="12" t="s">
        <v>7</v>
      </c>
      <c r="C37" s="21">
        <f>0.9123+6.7634*C4+2.1689*D4-0.8411*E4+7.7146*F4</f>
        <v>16.371799361942927</v>
      </c>
      <c r="D37" s="35" t="s">
        <v>55</v>
      </c>
      <c r="E37" s="35"/>
      <c r="F37" s="35"/>
      <c r="G37" s="35"/>
      <c r="R37" s="6" t="s">
        <v>57</v>
      </c>
      <c r="S37" s="24">
        <v>0.55247562361182645</v>
      </c>
      <c r="T37" s="19">
        <v>0.67842244991334155</v>
      </c>
      <c r="U37" s="19">
        <v>-1.3936929715564474</v>
      </c>
      <c r="V37" s="19">
        <v>-2.5109435480553657</v>
      </c>
    </row>
    <row r="38" spans="2:23" ht="17.399999999999999" customHeight="1" x14ac:dyDescent="0.3">
      <c r="B38" s="12" t="s">
        <v>8</v>
      </c>
      <c r="C38" s="21">
        <f t="shared" ref="C38:C45" si="5">0.9123+6.7634*C5+2.1689*D5-0.8411*E5+7.7146*F5</f>
        <v>22.192834923950564</v>
      </c>
      <c r="D38" s="35" t="s">
        <v>55</v>
      </c>
      <c r="E38" s="35"/>
      <c r="F38" s="35"/>
      <c r="G38" s="35"/>
      <c r="R38" s="6" t="s">
        <v>58</v>
      </c>
      <c r="S38" s="24">
        <v>-2.256175892194733</v>
      </c>
      <c r="T38" s="19">
        <v>-1.7492803888453636</v>
      </c>
      <c r="U38" s="19">
        <v>-1.9554196367389522</v>
      </c>
      <c r="V38" s="19">
        <v>-6.4318672026274726E-2</v>
      </c>
    </row>
    <row r="39" spans="2:23" ht="17.399999999999999" customHeight="1" x14ac:dyDescent="0.3">
      <c r="B39" s="12" t="s">
        <v>9</v>
      </c>
      <c r="C39" s="21">
        <f t="shared" si="5"/>
        <v>32.362353059917901</v>
      </c>
      <c r="D39" s="35" t="s">
        <v>55</v>
      </c>
      <c r="E39" s="35"/>
      <c r="F39" s="35"/>
      <c r="G39" s="35"/>
      <c r="R39" s="6" t="s">
        <v>59</v>
      </c>
      <c r="S39" s="24">
        <v>-0.57218051349627785</v>
      </c>
      <c r="T39" s="19">
        <v>-1.1365515345241874</v>
      </c>
      <c r="U39" s="19">
        <v>-0.91064555615594145</v>
      </c>
      <c r="V39" s="19">
        <v>-1.0629620444669854</v>
      </c>
    </row>
    <row r="40" spans="2:23" ht="17.399999999999999" customHeight="1" x14ac:dyDescent="0.3">
      <c r="B40" s="12" t="s">
        <v>10</v>
      </c>
      <c r="C40" s="21">
        <f t="shared" si="5"/>
        <v>15.132849664675582</v>
      </c>
      <c r="D40" s="35" t="s">
        <v>55</v>
      </c>
      <c r="E40" s="35"/>
      <c r="F40" s="35"/>
      <c r="G40" s="35"/>
      <c r="R40" s="6" t="s">
        <v>60</v>
      </c>
      <c r="S40" s="24">
        <v>-2.8622813513502479</v>
      </c>
      <c r="T40" s="19">
        <v>-0.37234292701759841</v>
      </c>
      <c r="U40" s="19">
        <v>-0.95190250956511591</v>
      </c>
      <c r="V40" s="19">
        <v>0.56719579536002129</v>
      </c>
    </row>
    <row r="41" spans="2:23" ht="17.399999999999999" customHeight="1" x14ac:dyDescent="0.3">
      <c r="B41" s="12" t="s">
        <v>11</v>
      </c>
      <c r="C41" s="21">
        <f t="shared" si="5"/>
        <v>-15.825667255996319</v>
      </c>
      <c r="D41" s="35" t="s">
        <v>61</v>
      </c>
      <c r="E41" s="35"/>
      <c r="F41" s="35"/>
      <c r="G41" s="35"/>
      <c r="R41" s="6" t="s">
        <v>62</v>
      </c>
      <c r="S41" s="24">
        <v>-1.0810621259006439</v>
      </c>
      <c r="T41" s="19">
        <v>-0.60415607347385958</v>
      </c>
      <c r="U41" s="19">
        <v>0.11873760033631697</v>
      </c>
      <c r="V41" s="19">
        <v>-1.8331926437676884</v>
      </c>
    </row>
    <row r="42" spans="2:23" ht="17.399999999999999" customHeight="1" x14ac:dyDescent="0.3">
      <c r="B42" s="12" t="s">
        <v>13</v>
      </c>
      <c r="C42" s="21">
        <f t="shared" si="5"/>
        <v>-26.263368847623365</v>
      </c>
      <c r="D42" s="35" t="s">
        <v>61</v>
      </c>
      <c r="E42" s="35"/>
      <c r="F42" s="35"/>
      <c r="G42" s="35"/>
      <c r="R42" s="6" t="s">
        <v>63</v>
      </c>
      <c r="S42" s="24">
        <v>0.16875980893382803</v>
      </c>
      <c r="T42" s="19">
        <v>-1.0454940618510591</v>
      </c>
      <c r="U42" s="19">
        <v>-1.6024242793500889</v>
      </c>
      <c r="V42" s="19">
        <v>-2.2636201063287444</v>
      </c>
    </row>
    <row r="43" spans="2:23" ht="15.6" x14ac:dyDescent="0.3">
      <c r="B43" s="12" t="s">
        <v>14</v>
      </c>
      <c r="C43" s="21">
        <f t="shared" si="5"/>
        <v>-18.701975711252871</v>
      </c>
      <c r="D43" s="35" t="s">
        <v>61</v>
      </c>
      <c r="E43" s="35"/>
      <c r="F43" s="35"/>
      <c r="G43" s="35"/>
    </row>
    <row r="44" spans="2:23" ht="15.6" x14ac:dyDescent="0.3">
      <c r="B44" s="12" t="s">
        <v>15</v>
      </c>
      <c r="C44" s="21">
        <f t="shared" si="5"/>
        <v>-13.820105784959065</v>
      </c>
      <c r="D44" s="35" t="s">
        <v>61</v>
      </c>
      <c r="E44" s="35"/>
      <c r="F44" s="35"/>
      <c r="G44" s="35"/>
    </row>
    <row r="45" spans="2:23" ht="15.6" x14ac:dyDescent="0.3">
      <c r="B45" s="12" t="s">
        <v>16</v>
      </c>
      <c r="C45" s="21">
        <f t="shared" si="5"/>
        <v>-15.136166824988191</v>
      </c>
      <c r="D45" s="35" t="s">
        <v>61</v>
      </c>
      <c r="E45" s="35"/>
      <c r="F45" s="35"/>
      <c r="G45" s="35"/>
    </row>
    <row r="46" spans="2:23" ht="15.6" x14ac:dyDescent="0.3">
      <c r="B46" s="3"/>
      <c r="C46" s="3"/>
      <c r="D46" s="3"/>
      <c r="E46" s="3"/>
      <c r="F46" s="3"/>
      <c r="G46" s="3"/>
    </row>
    <row r="47" spans="2:23" ht="15.6" x14ac:dyDescent="0.3">
      <c r="B47" s="3"/>
      <c r="C47" s="3"/>
      <c r="D47" s="3"/>
      <c r="E47" s="3"/>
      <c r="F47" s="3"/>
      <c r="G47" s="3"/>
    </row>
    <row r="48" spans="2:23" ht="15.6" x14ac:dyDescent="0.3">
      <c r="B48" s="17" t="s">
        <v>64</v>
      </c>
      <c r="C48" s="18">
        <v>1</v>
      </c>
      <c r="D48" s="3"/>
      <c r="E48" s="3"/>
      <c r="F48" s="3"/>
      <c r="G48" s="3"/>
      <c r="R48" s="36" t="s">
        <v>53</v>
      </c>
      <c r="S48" s="36"/>
      <c r="T48" s="7"/>
      <c r="U48" s="7"/>
      <c r="V48" s="7"/>
      <c r="W48" s="7"/>
    </row>
    <row r="49" spans="18:23" ht="15.6" x14ac:dyDescent="0.3">
      <c r="R49" s="12" t="s">
        <v>6</v>
      </c>
      <c r="S49" s="21">
        <f>0.9123+6.7634*S3+2.1689*T3-0.8411*U3+7.7146*V3</f>
        <v>20.690993408672462</v>
      </c>
      <c r="T49" s="35" t="s">
        <v>55</v>
      </c>
      <c r="U49" s="35"/>
      <c r="V49" s="35"/>
      <c r="W49" s="35"/>
    </row>
    <row r="50" spans="18:23" ht="15.6" x14ac:dyDescent="0.3">
      <c r="R50" s="12" t="s">
        <v>7</v>
      </c>
      <c r="S50" s="21">
        <f t="shared" ref="S50:S88" si="6">0.9123+6.7634*S4+2.1689*T4-0.8411*U4+7.7146*V4</f>
        <v>16.593302138127861</v>
      </c>
      <c r="T50" s="35" t="s">
        <v>55</v>
      </c>
      <c r="U50" s="35"/>
      <c r="V50" s="35"/>
      <c r="W50" s="35"/>
    </row>
    <row r="51" spans="18:23" ht="15.6" x14ac:dyDescent="0.3">
      <c r="R51" s="12" t="s">
        <v>8</v>
      </c>
      <c r="S51" s="21">
        <f t="shared" si="6"/>
        <v>9.4171081871736035</v>
      </c>
      <c r="T51" s="35" t="s">
        <v>55</v>
      </c>
      <c r="U51" s="35"/>
      <c r="V51" s="35"/>
      <c r="W51" s="35"/>
    </row>
    <row r="52" spans="18:23" ht="15.6" x14ac:dyDescent="0.3">
      <c r="R52" s="12" t="s">
        <v>9</v>
      </c>
      <c r="S52" s="21">
        <f t="shared" si="6"/>
        <v>14.155692972119091</v>
      </c>
      <c r="T52" s="35" t="s">
        <v>55</v>
      </c>
      <c r="U52" s="35"/>
      <c r="V52" s="35"/>
      <c r="W52" s="35"/>
    </row>
    <row r="53" spans="18:23" ht="15.6" x14ac:dyDescent="0.3">
      <c r="R53" s="12" t="s">
        <v>10</v>
      </c>
      <c r="S53" s="21">
        <f t="shared" si="6"/>
        <v>9.590325055975832</v>
      </c>
      <c r="T53" s="35" t="s">
        <v>55</v>
      </c>
      <c r="U53" s="35"/>
      <c r="V53" s="35"/>
      <c r="W53" s="35"/>
    </row>
    <row r="54" spans="18:23" ht="15.6" x14ac:dyDescent="0.3">
      <c r="R54" s="17" t="s">
        <v>11</v>
      </c>
      <c r="S54" s="22">
        <f t="shared" si="6"/>
        <v>-1.293626708891729</v>
      </c>
      <c r="T54" s="32" t="s">
        <v>65</v>
      </c>
      <c r="U54" s="32"/>
      <c r="V54" s="32"/>
      <c r="W54" s="32"/>
    </row>
    <row r="55" spans="18:23" ht="15.6" x14ac:dyDescent="0.3">
      <c r="R55" s="17" t="s">
        <v>13</v>
      </c>
      <c r="S55" s="22">
        <f t="shared" si="6"/>
        <v>0.5329693445418755</v>
      </c>
      <c r="T55" s="32" t="s">
        <v>65</v>
      </c>
      <c r="U55" s="32"/>
      <c r="V55" s="32"/>
      <c r="W55" s="32"/>
    </row>
    <row r="56" spans="18:23" ht="15.6" x14ac:dyDescent="0.3">
      <c r="R56" s="12" t="s">
        <v>14</v>
      </c>
      <c r="S56" s="21">
        <f t="shared" si="6"/>
        <v>17.13421683013798</v>
      </c>
      <c r="T56" s="35" t="s">
        <v>55</v>
      </c>
      <c r="U56" s="35"/>
      <c r="V56" s="35"/>
      <c r="W56" s="35"/>
    </row>
    <row r="57" spans="18:23" ht="15.6" x14ac:dyDescent="0.3">
      <c r="R57" s="12" t="s">
        <v>15</v>
      </c>
      <c r="S57" s="21">
        <f t="shared" si="6"/>
        <v>13.414373221573392</v>
      </c>
      <c r="T57" s="35" t="s">
        <v>55</v>
      </c>
      <c r="U57" s="35"/>
      <c r="V57" s="35"/>
      <c r="W57" s="35"/>
    </row>
    <row r="58" spans="18:23" ht="15.6" x14ac:dyDescent="0.3">
      <c r="R58" s="12" t="s">
        <v>16</v>
      </c>
      <c r="S58" s="21">
        <f t="shared" si="6"/>
        <v>18.785292381787208</v>
      </c>
      <c r="T58" s="35" t="s">
        <v>55</v>
      </c>
      <c r="U58" s="35"/>
      <c r="V58" s="35"/>
      <c r="W58" s="35"/>
    </row>
    <row r="59" spans="18:23" ht="15.6" x14ac:dyDescent="0.3">
      <c r="R59" s="12" t="s">
        <v>17</v>
      </c>
      <c r="S59" s="21">
        <f t="shared" si="6"/>
        <v>28.392233972064737</v>
      </c>
      <c r="T59" s="35" t="s">
        <v>55</v>
      </c>
      <c r="U59" s="35"/>
      <c r="V59" s="35"/>
      <c r="W59" s="35"/>
    </row>
    <row r="60" spans="18:23" ht="15.6" x14ac:dyDescent="0.3">
      <c r="R60" s="12" t="s">
        <v>20</v>
      </c>
      <c r="S60" s="21">
        <f t="shared" si="6"/>
        <v>10.391761755110515</v>
      </c>
      <c r="T60" s="35" t="s">
        <v>55</v>
      </c>
      <c r="U60" s="35"/>
      <c r="V60" s="35"/>
      <c r="W60" s="35"/>
    </row>
    <row r="61" spans="18:23" ht="15.6" x14ac:dyDescent="0.3">
      <c r="R61" s="12" t="s">
        <v>22</v>
      </c>
      <c r="S61" s="21">
        <f t="shared" si="6"/>
        <v>34.217691960472571</v>
      </c>
      <c r="T61" s="35" t="s">
        <v>55</v>
      </c>
      <c r="U61" s="35"/>
      <c r="V61" s="35"/>
      <c r="W61" s="35"/>
    </row>
    <row r="62" spans="18:23" ht="15.6" x14ac:dyDescent="0.3">
      <c r="R62" s="12" t="s">
        <v>23</v>
      </c>
      <c r="S62" s="21">
        <f t="shared" si="6"/>
        <v>11.941846347164706</v>
      </c>
      <c r="T62" s="35" t="s">
        <v>55</v>
      </c>
      <c r="U62" s="35"/>
      <c r="V62" s="35"/>
      <c r="W62" s="35"/>
    </row>
    <row r="63" spans="18:23" ht="15.6" x14ac:dyDescent="0.3">
      <c r="R63" s="12" t="s">
        <v>25</v>
      </c>
      <c r="S63" s="21">
        <f t="shared" si="6"/>
        <v>28.217929517561011</v>
      </c>
      <c r="T63" s="35" t="s">
        <v>55</v>
      </c>
      <c r="U63" s="35"/>
      <c r="V63" s="35"/>
      <c r="W63" s="35"/>
    </row>
    <row r="64" spans="18:23" ht="15.6" x14ac:dyDescent="0.3">
      <c r="R64" s="12" t="s">
        <v>27</v>
      </c>
      <c r="S64" s="21">
        <f t="shared" si="6"/>
        <v>17.366489647267322</v>
      </c>
      <c r="T64" s="35" t="s">
        <v>55</v>
      </c>
      <c r="U64" s="35"/>
      <c r="V64" s="35"/>
      <c r="W64" s="35"/>
    </row>
    <row r="65" spans="18:26" ht="15.6" x14ac:dyDescent="0.3">
      <c r="R65" s="17" t="s">
        <v>28</v>
      </c>
      <c r="S65" s="22">
        <f t="shared" si="6"/>
        <v>2.8002546180886796</v>
      </c>
      <c r="T65" s="32" t="s">
        <v>66</v>
      </c>
      <c r="U65" s="32"/>
      <c r="V65" s="32"/>
      <c r="W65" s="32"/>
      <c r="Z65" s="1"/>
    </row>
    <row r="66" spans="18:26" ht="15.6" x14ac:dyDescent="0.3">
      <c r="R66" s="12" t="s">
        <v>30</v>
      </c>
      <c r="S66" s="21">
        <f t="shared" si="6"/>
        <v>12.630380796801497</v>
      </c>
      <c r="T66" s="35" t="s">
        <v>55</v>
      </c>
      <c r="U66" s="35"/>
      <c r="V66" s="35"/>
      <c r="W66" s="35"/>
    </row>
    <row r="67" spans="18:26" ht="15.6" x14ac:dyDescent="0.3">
      <c r="R67" s="12" t="s">
        <v>31</v>
      </c>
      <c r="S67" s="21">
        <f t="shared" si="6"/>
        <v>29.475748729802895</v>
      </c>
      <c r="T67" s="35" t="s">
        <v>55</v>
      </c>
      <c r="U67" s="35"/>
      <c r="V67" s="35"/>
      <c r="W67" s="35"/>
    </row>
    <row r="68" spans="18:26" ht="15.6" x14ac:dyDescent="0.3">
      <c r="R68" s="12" t="s">
        <v>33</v>
      </c>
      <c r="S68" s="21">
        <f t="shared" si="6"/>
        <v>8.5226486263054042</v>
      </c>
      <c r="T68" s="35" t="s">
        <v>55</v>
      </c>
      <c r="U68" s="35"/>
      <c r="V68" s="35"/>
      <c r="W68" s="35"/>
    </row>
    <row r="69" spans="18:26" ht="15.6" x14ac:dyDescent="0.3">
      <c r="R69" s="12" t="s">
        <v>34</v>
      </c>
      <c r="S69" s="21">
        <f t="shared" si="6"/>
        <v>-15.305792574083039</v>
      </c>
      <c r="T69" s="35" t="s">
        <v>61</v>
      </c>
      <c r="U69" s="35"/>
      <c r="V69" s="35"/>
      <c r="W69" s="35"/>
    </row>
    <row r="70" spans="18:26" ht="15.6" x14ac:dyDescent="0.3">
      <c r="R70" s="12" t="s">
        <v>35</v>
      </c>
      <c r="S70" s="21">
        <f t="shared" si="6"/>
        <v>-1.1412896280097411</v>
      </c>
      <c r="T70" s="35" t="s">
        <v>61</v>
      </c>
      <c r="U70" s="35"/>
      <c r="V70" s="35"/>
      <c r="W70" s="35"/>
    </row>
    <row r="71" spans="18:26" ht="15.6" x14ac:dyDescent="0.3">
      <c r="R71" s="12" t="s">
        <v>36</v>
      </c>
      <c r="S71" s="21">
        <f t="shared" si="6"/>
        <v>-10.604228165818181</v>
      </c>
      <c r="T71" s="35" t="s">
        <v>61</v>
      </c>
      <c r="U71" s="35"/>
      <c r="V71" s="35"/>
      <c r="W71" s="35"/>
    </row>
    <row r="72" spans="18:26" ht="15.6" x14ac:dyDescent="0.3">
      <c r="R72" s="12" t="s">
        <v>37</v>
      </c>
      <c r="S72" s="21">
        <f t="shared" si="6"/>
        <v>-24.572658346671098</v>
      </c>
      <c r="T72" s="35" t="s">
        <v>61</v>
      </c>
      <c r="U72" s="35"/>
      <c r="V72" s="35"/>
      <c r="W72" s="35"/>
    </row>
    <row r="73" spans="18:26" ht="15.6" x14ac:dyDescent="0.3">
      <c r="R73" s="12" t="s">
        <v>38</v>
      </c>
      <c r="S73" s="21">
        <f t="shared" si="6"/>
        <v>-18.436677584788285</v>
      </c>
      <c r="T73" s="35" t="s">
        <v>61</v>
      </c>
      <c r="U73" s="35"/>
      <c r="V73" s="35"/>
      <c r="W73" s="35"/>
    </row>
    <row r="74" spans="18:26" ht="15.6" x14ac:dyDescent="0.3">
      <c r="R74" s="17" t="s">
        <v>40</v>
      </c>
      <c r="S74" s="22">
        <f t="shared" si="6"/>
        <v>9.8761478428451888</v>
      </c>
      <c r="T74" s="32" t="s">
        <v>67</v>
      </c>
      <c r="U74" s="32"/>
      <c r="V74" s="32"/>
      <c r="W74" s="32"/>
    </row>
    <row r="75" spans="18:26" ht="15.6" x14ac:dyDescent="0.3">
      <c r="R75" s="12" t="s">
        <v>42</v>
      </c>
      <c r="S75" s="21">
        <f t="shared" si="6"/>
        <v>-25.915505580230139</v>
      </c>
      <c r="T75" s="35" t="s">
        <v>61</v>
      </c>
      <c r="U75" s="35"/>
      <c r="V75" s="35"/>
      <c r="W75" s="35"/>
    </row>
    <row r="76" spans="18:26" ht="15.6" x14ac:dyDescent="0.3">
      <c r="R76" s="12" t="s">
        <v>44</v>
      </c>
      <c r="S76" s="21">
        <f t="shared" si="6"/>
        <v>-17.256745463584462</v>
      </c>
      <c r="T76" s="35" t="s">
        <v>61</v>
      </c>
      <c r="U76" s="35"/>
      <c r="V76" s="35"/>
      <c r="W76" s="35"/>
    </row>
    <row r="77" spans="18:26" ht="15.6" x14ac:dyDescent="0.3">
      <c r="R77" s="12" t="s">
        <v>46</v>
      </c>
      <c r="S77" s="21">
        <f t="shared" si="6"/>
        <v>-27.455033022676481</v>
      </c>
      <c r="T77" s="35" t="s">
        <v>61</v>
      </c>
      <c r="U77" s="35"/>
      <c r="V77" s="35"/>
      <c r="W77" s="35"/>
    </row>
    <row r="78" spans="18:26" ht="15.6" x14ac:dyDescent="0.3">
      <c r="R78" s="12" t="s">
        <v>49</v>
      </c>
      <c r="S78" s="21">
        <f t="shared" si="6"/>
        <v>-5.3012606663577158</v>
      </c>
      <c r="T78" s="35" t="s">
        <v>61</v>
      </c>
      <c r="U78" s="35"/>
      <c r="V78" s="35"/>
      <c r="W78" s="35"/>
    </row>
    <row r="79" spans="18:26" ht="15.6" x14ac:dyDescent="0.3">
      <c r="R79" s="12" t="s">
        <v>51</v>
      </c>
      <c r="S79" s="21">
        <f t="shared" si="6"/>
        <v>-12.659688253990549</v>
      </c>
      <c r="T79" s="35" t="s">
        <v>61</v>
      </c>
      <c r="U79" s="35"/>
      <c r="V79" s="35"/>
      <c r="W79" s="35"/>
    </row>
    <row r="80" spans="18:26" ht="15.6" x14ac:dyDescent="0.3">
      <c r="R80" s="12" t="s">
        <v>52</v>
      </c>
      <c r="S80" s="21">
        <f t="shared" si="6"/>
        <v>-38.777475607304822</v>
      </c>
      <c r="T80" s="35" t="s">
        <v>61</v>
      </c>
      <c r="U80" s="35"/>
      <c r="V80" s="35"/>
      <c r="W80" s="35"/>
    </row>
    <row r="81" spans="18:23" ht="15.6" x14ac:dyDescent="0.3">
      <c r="R81" s="12" t="s">
        <v>54</v>
      </c>
      <c r="S81" s="21">
        <f t="shared" si="6"/>
        <v>-19.079502842288868</v>
      </c>
      <c r="T81" s="35" t="s">
        <v>61</v>
      </c>
      <c r="U81" s="35"/>
      <c r="V81" s="35"/>
      <c r="W81" s="35"/>
    </row>
    <row r="82" spans="18:23" ht="15.6" x14ac:dyDescent="0.3">
      <c r="R82" s="17" t="s">
        <v>56</v>
      </c>
      <c r="S82" s="22">
        <f t="shared" si="6"/>
        <v>1.7685551790401806</v>
      </c>
      <c r="T82" s="32" t="s">
        <v>67</v>
      </c>
      <c r="U82" s="32"/>
      <c r="V82" s="32"/>
      <c r="W82" s="32"/>
    </row>
    <row r="83" spans="18:23" ht="15.6" x14ac:dyDescent="0.3">
      <c r="R83" s="12" t="s">
        <v>57</v>
      </c>
      <c r="S83" s="21">
        <f t="shared" si="6"/>
        <v>-12.078345853098524</v>
      </c>
      <c r="T83" s="35" t="s">
        <v>61</v>
      </c>
      <c r="U83" s="35"/>
      <c r="V83" s="35"/>
      <c r="W83" s="35"/>
    </row>
    <row r="84" spans="18:23" ht="15.6" x14ac:dyDescent="0.3">
      <c r="R84" s="12" t="s">
        <v>58</v>
      </c>
      <c r="S84" s="21">
        <f t="shared" si="6"/>
        <v>-16.992623635389332</v>
      </c>
      <c r="T84" s="35" t="s">
        <v>61</v>
      </c>
      <c r="U84" s="35"/>
      <c r="V84" s="35"/>
      <c r="W84" s="35"/>
    </row>
    <row r="85" spans="18:23" ht="15.6" x14ac:dyDescent="0.3">
      <c r="R85" s="12" t="s">
        <v>59</v>
      </c>
      <c r="S85" s="21">
        <f t="shared" si="6"/>
        <v>-12.857035319172478</v>
      </c>
      <c r="T85" s="35" t="s">
        <v>61</v>
      </c>
      <c r="U85" s="35"/>
      <c r="V85" s="35"/>
      <c r="W85" s="35"/>
    </row>
    <row r="86" spans="18:23" ht="15.6" x14ac:dyDescent="0.3">
      <c r="R86" s="12" t="s">
        <v>60</v>
      </c>
      <c r="S86" s="21">
        <f t="shared" si="6"/>
        <v>-14.077694382451099</v>
      </c>
      <c r="T86" s="35" t="s">
        <v>61</v>
      </c>
      <c r="U86" s="35"/>
      <c r="V86" s="35"/>
      <c r="W86" s="35"/>
    </row>
    <row r="87" spans="18:23" ht="15.6" x14ac:dyDescent="0.3">
      <c r="R87" s="12" t="s">
        <v>62</v>
      </c>
      <c r="S87" s="21">
        <f t="shared" si="6"/>
        <v>-21.951927855326954</v>
      </c>
      <c r="T87" s="35" t="s">
        <v>61</v>
      </c>
      <c r="U87" s="35"/>
      <c r="V87" s="35"/>
      <c r="W87" s="35"/>
    </row>
    <row r="88" spans="18:23" ht="15.6" x14ac:dyDescent="0.3">
      <c r="R88" s="12" t="s">
        <v>63</v>
      </c>
      <c r="S88" s="21">
        <f t="shared" si="6"/>
        <v>-16.329006589928081</v>
      </c>
      <c r="T88" s="35" t="s">
        <v>61</v>
      </c>
      <c r="U88" s="35"/>
      <c r="V88" s="35"/>
      <c r="W88" s="35"/>
    </row>
    <row r="89" spans="18:23" ht="15.6" x14ac:dyDescent="0.3">
      <c r="R89" s="7"/>
      <c r="S89" s="7"/>
      <c r="T89" s="7"/>
      <c r="U89" s="7"/>
      <c r="V89" s="7"/>
      <c r="W89" s="7"/>
    </row>
    <row r="90" spans="18:23" ht="15.6" x14ac:dyDescent="0.3">
      <c r="R90" s="17" t="s">
        <v>64</v>
      </c>
      <c r="S90" s="25">
        <f>35/40</f>
        <v>0.875</v>
      </c>
      <c r="T90" s="7"/>
      <c r="U90" s="7"/>
      <c r="V90" s="7"/>
      <c r="W90" s="7"/>
    </row>
  </sheetData>
  <mergeCells count="57">
    <mergeCell ref="T86:W86"/>
    <mergeCell ref="T87:W87"/>
    <mergeCell ref="T88:W88"/>
    <mergeCell ref="T65:W65"/>
    <mergeCell ref="T80:W80"/>
    <mergeCell ref="T81:W81"/>
    <mergeCell ref="T82:W82"/>
    <mergeCell ref="T83:W83"/>
    <mergeCell ref="T84:W84"/>
    <mergeCell ref="T85:W85"/>
    <mergeCell ref="T74:W74"/>
    <mergeCell ref="T75:W75"/>
    <mergeCell ref="T76:W76"/>
    <mergeCell ref="T77:W77"/>
    <mergeCell ref="T78:W78"/>
    <mergeCell ref="T79:W79"/>
    <mergeCell ref="T73:W73"/>
    <mergeCell ref="T62:W62"/>
    <mergeCell ref="T63:W63"/>
    <mergeCell ref="T64:W64"/>
    <mergeCell ref="T66:W66"/>
    <mergeCell ref="T67:W67"/>
    <mergeCell ref="T68:W68"/>
    <mergeCell ref="T69:W69"/>
    <mergeCell ref="T70:W70"/>
    <mergeCell ref="T71:W71"/>
    <mergeCell ref="T72:W72"/>
    <mergeCell ref="T61:W61"/>
    <mergeCell ref="T50:W50"/>
    <mergeCell ref="T51:W51"/>
    <mergeCell ref="T53:W53"/>
    <mergeCell ref="T52:W52"/>
    <mergeCell ref="T54:W54"/>
    <mergeCell ref="T55:W55"/>
    <mergeCell ref="T56:W56"/>
    <mergeCell ref="T57:W57"/>
    <mergeCell ref="T58:W58"/>
    <mergeCell ref="T59:W59"/>
    <mergeCell ref="T60:W60"/>
    <mergeCell ref="B35:C35"/>
    <mergeCell ref="J8:K8"/>
    <mergeCell ref="J20:N20"/>
    <mergeCell ref="R48:S48"/>
    <mergeCell ref="J14:N14"/>
    <mergeCell ref="T49:W49"/>
    <mergeCell ref="D39:G39"/>
    <mergeCell ref="D40:G40"/>
    <mergeCell ref="D41:G41"/>
    <mergeCell ref="D42:G42"/>
    <mergeCell ref="D43:G43"/>
    <mergeCell ref="D44:G44"/>
    <mergeCell ref="D45:G45"/>
    <mergeCell ref="J2:K2"/>
    <mergeCell ref="I28:J28"/>
    <mergeCell ref="D36:G36"/>
    <mergeCell ref="D37:G37"/>
    <mergeCell ref="D38:G38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3241ae-8fa7-4061-bd4c-3b2a601d0f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DA517BA261A96A49BF6062DB07A158BF" ma:contentTypeVersion="14" ma:contentTypeDescription="Δημιουργία νέου εγγράφου" ma:contentTypeScope="" ma:versionID="42f232a6183c05b28e21c62bffb7bf49">
  <xsd:schema xmlns:xsd="http://www.w3.org/2001/XMLSchema" xmlns:xs="http://www.w3.org/2001/XMLSchema" xmlns:p="http://schemas.microsoft.com/office/2006/metadata/properties" xmlns:ns3="e43241ae-8fa7-4061-bd4c-3b2a601d0feb" xmlns:ns4="da51e9fb-b086-4dea-a140-435f70866d37" targetNamespace="http://schemas.microsoft.com/office/2006/metadata/properties" ma:root="true" ma:fieldsID="7bbd797f951a5b46e5cf5cadfa766156" ns3:_="" ns4:_="">
    <xsd:import namespace="e43241ae-8fa7-4061-bd4c-3b2a601d0feb"/>
    <xsd:import namespace="da51e9fb-b086-4dea-a140-435f70866d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241ae-8fa7-4061-bd4c-3b2a601d0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1e9fb-b086-4dea-a140-435f70866d3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Κοινή χρήση κατακερματισμού υπόδειξης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8F6B09-5619-455B-BC27-622978DC34EB}">
  <ds:schemaRefs>
    <ds:schemaRef ds:uri="da51e9fb-b086-4dea-a140-435f70866d37"/>
    <ds:schemaRef ds:uri="http://www.w3.org/XML/1998/namespace"/>
    <ds:schemaRef ds:uri="http://schemas.microsoft.com/office/infopath/2007/PartnerControls"/>
    <ds:schemaRef ds:uri="e43241ae-8fa7-4061-bd4c-3b2a601d0feb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2FFC58B-E427-4D48-89B2-6B0FE9C06B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A66BA5-A3F0-4414-A415-0D662FA7C6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3241ae-8fa7-4061-bd4c-3b2a601d0feb"/>
    <ds:schemaRef ds:uri="da51e9fb-b086-4dea-a140-435f70866d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Φοιτητές</vt:lpstr>
      <vt:lpstr>Ανάπτυξη μοντέλου πρόβλεψης της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Spyros-Evtychios Lagios</dc:creator>
  <cp:keywords/>
  <dc:description/>
  <cp:lastModifiedBy>Παναγιωτης Κωστ.</cp:lastModifiedBy>
  <cp:revision/>
  <dcterms:created xsi:type="dcterms:W3CDTF">2025-11-25T11:29:56Z</dcterms:created>
  <dcterms:modified xsi:type="dcterms:W3CDTF">2026-08-11T08:32:57Z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0x010100DA517BA261A96A49BF6062DB07A158BF</vt:lpwstr>
  </property>
</Properties>
</file>