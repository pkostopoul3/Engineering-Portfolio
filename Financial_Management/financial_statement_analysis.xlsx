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aec70558032046/Υπολογιστής/Financial_Management/"/>
    </mc:Choice>
  </mc:AlternateContent>
  <xr:revisionPtr revIDLastSave="0" documentId="8_{AAC6FAC0-6AAF-4296-B19F-B0BBB87A555A}" xr6:coauthVersionLast="47" xr6:coauthVersionMax="47" xr10:uidLastSave="{00000000-0000-0000-0000-000000000000}"/>
  <bookViews>
    <workbookView xWindow="-108" yWindow="-108" windowWidth="23256" windowHeight="12456" xr2:uid="{FAABE2FA-BBA7-4F56-B12D-0FBB349276EF}"/>
  </bookViews>
  <sheets>
    <sheet name="Κάθετη Ανάλυσ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" i="1" l="1"/>
  <c r="L65" i="1"/>
  <c r="J66" i="1"/>
  <c r="J65" i="1"/>
  <c r="H66" i="1"/>
  <c r="H65" i="1"/>
  <c r="F66" i="1"/>
  <c r="F65" i="1"/>
  <c r="N66" i="1"/>
  <c r="N65" i="1"/>
  <c r="M67" i="1"/>
  <c r="K67" i="1"/>
  <c r="I67" i="1"/>
  <c r="G67" i="1"/>
  <c r="E67" i="1"/>
  <c r="F59" i="1"/>
  <c r="G59" i="1"/>
  <c r="H59" i="1"/>
  <c r="I59" i="1"/>
  <c r="E59" i="1"/>
  <c r="M22" i="1"/>
  <c r="N21" i="1" s="1"/>
  <c r="K22" i="1"/>
  <c r="L21" i="1" s="1"/>
  <c r="I22" i="1"/>
  <c r="J21" i="1" s="1"/>
  <c r="G22" i="1"/>
  <c r="H21" i="1" s="1"/>
  <c r="E22" i="1"/>
  <c r="F21" i="1" s="1"/>
  <c r="I14" i="1"/>
  <c r="H14" i="1"/>
  <c r="G14" i="1"/>
  <c r="F14" i="1"/>
  <c r="E14" i="1"/>
  <c r="N22" i="1"/>
  <c r="L22" i="1"/>
  <c r="J22" i="1"/>
  <c r="H22" i="1"/>
  <c r="F20" i="1" l="1"/>
  <c r="H20" i="1"/>
  <c r="J20" i="1"/>
  <c r="L20" i="1"/>
  <c r="N20" i="1"/>
</calcChain>
</file>

<file path=xl/sharedStrings.xml><?xml version="1.0" encoding="utf-8"?>
<sst xmlns="http://schemas.openxmlformats.org/spreadsheetml/2006/main" count="35" uniqueCount="16">
  <si>
    <t>πίνακας 1</t>
  </si>
  <si>
    <t>Δεδομένα από Ισολογισμό:</t>
  </si>
  <si>
    <t>Έτη</t>
  </si>
  <si>
    <t>Ίδια Κεφάλαια</t>
  </si>
  <si>
    <t>Υποχρεώσεις</t>
  </si>
  <si>
    <t>Σύνολο Παθητικού</t>
  </si>
  <si>
    <t>Όλα τα ποσά σε €</t>
  </si>
  <si>
    <t>Kάθετη ανάλυση, υπολογισμοί:</t>
  </si>
  <si>
    <t>%</t>
  </si>
  <si>
    <r>
      <t>Για τη δομή των</t>
    </r>
    <r>
      <rPr>
        <b/>
        <sz val="12"/>
        <color rgb="FFFF0000"/>
        <rFont val="Times New Roman"/>
        <family val="1"/>
        <charset val="161"/>
      </rPr>
      <t xml:space="preserve"> Κεφαλαίων</t>
    </r>
    <r>
      <rPr>
        <b/>
        <sz val="12"/>
        <color theme="1"/>
        <rFont val="Times New Roman"/>
        <family val="1"/>
        <charset val="161"/>
      </rPr>
      <t xml:space="preserve"> έχουμε:</t>
    </r>
  </si>
  <si>
    <t>πίνακας 2</t>
  </si>
  <si>
    <r>
      <t>Για τη Δομή του</t>
    </r>
    <r>
      <rPr>
        <b/>
        <sz val="12"/>
        <color rgb="FFFF0000"/>
        <rFont val="Times New Roman"/>
        <family val="1"/>
        <charset val="161"/>
      </rPr>
      <t xml:space="preserve"> Ενεργητικού</t>
    </r>
    <r>
      <rPr>
        <b/>
        <sz val="12"/>
        <color theme="1"/>
        <rFont val="Times New Roman"/>
        <family val="1"/>
        <charset val="161"/>
      </rPr>
      <t xml:space="preserve"> (περιουσίας) έχουμε:</t>
    </r>
  </si>
  <si>
    <t>Πάγιο Ενεργητικό</t>
  </si>
  <si>
    <t>Κυκλοφορούν Ενεργητικό</t>
  </si>
  <si>
    <t>Σύνολο Ενεργητικού</t>
  </si>
  <si>
    <t xml:space="preserve">Δίνονται πληροφορίες για τον ισολογισμό της ΚΡΙ-ΚΡΙ ΒΙΟΜΗΧΑΝΙΑ ΓΑΛΑΚΤΟΣ ΑΝΩΝΥΜΗ ΒΙΟΜΗΧΑΝΙΚΗ ΚΑΙ ΕΜΠΟΡΙΚΗ ΕΤΑΙΡΕΙΑ (ΚΡΙ-ΚΡΙ Α.Β.Ε.Ε) για τα έτη 2020 - 2024.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</si>
</sst>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#,##0.00\ &quot;€&quot;"/>
  </numFmts>
  <fonts count="17" x14ac:knownFonts="1">
    <font>
      <sz val="11"/>
      <color theme="1"/>
      <name val="Aptos Narrow"/>
      <family val="2"/>
      <charset val="161"/>
      <scheme val="minor"/>
    </font>
    <font>
      <sz val="10"/>
      <color theme="1"/>
      <name val="Times New Roman"/>
      <family val="1"/>
      <charset val="161"/>
    </font>
    <font>
      <b/>
      <sz val="10"/>
      <color theme="1"/>
      <name val="Times New Roman"/>
      <family val="1"/>
      <charset val="161"/>
    </font>
    <font>
      <sz val="11"/>
      <color theme="1"/>
      <name val="Times New Roman"/>
      <family val="1"/>
      <charset val="161"/>
    </font>
    <font>
      <sz val="11"/>
      <color rgb="FF453233"/>
      <name val="Times New Roman"/>
      <family val="1"/>
      <charset val="161"/>
    </font>
    <font>
      <b/>
      <sz val="12"/>
      <color theme="1"/>
      <name val="Times New Roman"/>
      <family val="1"/>
      <charset val="161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charset val="161"/>
      <scheme val="minor"/>
    </font>
    <font>
      <sz val="12"/>
      <color theme="1"/>
      <name val="Aptos Narrow"/>
      <family val="2"/>
      <charset val="161"/>
      <scheme val="minor"/>
    </font>
    <font>
      <sz val="12"/>
      <color theme="1"/>
      <name val="Times New Roman"/>
      <family val="1"/>
      <charset val="161"/>
    </font>
    <font>
      <b/>
      <sz val="12"/>
      <color rgb="FFFF0000"/>
      <name val="Times New Roman"/>
      <family val="1"/>
      <charset val="161"/>
    </font>
    <font>
      <b/>
      <sz val="12"/>
      <color rgb="FFFF0000"/>
      <name val="Times New Roman"/>
      <family val="1"/>
    </font>
    <font>
      <sz val="12"/>
      <color theme="1"/>
      <name val="Abad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453233"/>
      <name val="Times New Roman"/>
      <family val="1"/>
    </font>
    <font>
      <b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7" fillId="3" borderId="18" xfId="0" applyFont="1" applyFill="1" applyBorder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left"/>
    </xf>
    <xf numFmtId="0" fontId="9" fillId="3" borderId="0" xfId="0" applyFont="1" applyFill="1" applyAlignment="1">
      <alignment horizontal="left"/>
    </xf>
    <xf numFmtId="0" fontId="5" fillId="3" borderId="16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20" xfId="0" applyFont="1" applyFill="1" applyBorder="1" applyAlignment="1">
      <alignment horizontal="left"/>
    </xf>
    <xf numFmtId="0" fontId="5" fillId="3" borderId="17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center" vertical="center" wrapText="1"/>
    </xf>
    <xf numFmtId="164" fontId="3" fillId="4" borderId="8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164" fontId="3" fillId="4" borderId="8" xfId="0" applyNumberFormat="1" applyFont="1" applyFill="1" applyBorder="1" applyAlignment="1">
      <alignment horizontal="center" vertical="center" wrapText="1"/>
    </xf>
    <xf numFmtId="164" fontId="3" fillId="6" borderId="22" xfId="0" applyNumberFormat="1" applyFont="1" applyFill="1" applyBorder="1" applyAlignment="1">
      <alignment horizontal="center" vertical="center" wrapText="1"/>
    </xf>
    <xf numFmtId="165" fontId="3" fillId="6" borderId="22" xfId="0" applyNumberFormat="1" applyFont="1" applyFill="1" applyBorder="1" applyAlignment="1">
      <alignment horizontal="center" vertical="center" wrapText="1"/>
    </xf>
    <xf numFmtId="164" fontId="3" fillId="6" borderId="8" xfId="0" applyNumberFormat="1" applyFont="1" applyFill="1" applyBorder="1" applyAlignment="1">
      <alignment horizontal="center" vertical="center" wrapText="1"/>
    </xf>
    <xf numFmtId="4" fontId="3" fillId="4" borderId="12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3" fillId="5" borderId="0" xfId="0" applyFont="1" applyFill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164" fontId="14" fillId="4" borderId="8" xfId="0" applyNumberFormat="1" applyFont="1" applyFill="1" applyBorder="1" applyAlignment="1">
      <alignment horizontal="center" vertical="center"/>
    </xf>
    <xf numFmtId="165" fontId="14" fillId="4" borderId="8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64" fontId="14" fillId="4" borderId="8" xfId="0" applyNumberFormat="1" applyFont="1" applyFill="1" applyBorder="1" applyAlignment="1">
      <alignment horizontal="center" vertical="center" wrapText="1"/>
    </xf>
    <xf numFmtId="164" fontId="14" fillId="6" borderId="22" xfId="0" applyNumberFormat="1" applyFont="1" applyFill="1" applyBorder="1" applyAlignment="1">
      <alignment horizontal="center" vertical="center" wrapText="1"/>
    </xf>
    <xf numFmtId="165" fontId="14" fillId="6" borderId="22" xfId="0" applyNumberFormat="1" applyFont="1" applyFill="1" applyBorder="1" applyAlignment="1">
      <alignment horizontal="center" vertical="center" wrapText="1"/>
    </xf>
    <xf numFmtId="164" fontId="14" fillId="6" borderId="8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 wrapText="1"/>
    </xf>
    <xf numFmtId="4" fontId="14" fillId="4" borderId="12" xfId="0" applyNumberFormat="1" applyFont="1" applyFill="1" applyBorder="1" applyAlignment="1">
      <alignment horizontal="center" vertical="center" wrapText="1"/>
    </xf>
    <xf numFmtId="1" fontId="14" fillId="6" borderId="12" xfId="0" applyNumberFormat="1" applyFont="1" applyFill="1" applyBorder="1" applyAlignment="1">
      <alignment horizontal="center" vertical="center" wrapText="1"/>
    </xf>
    <xf numFmtId="3" fontId="14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13" fillId="5" borderId="8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5" fillId="6" borderId="7" xfId="0" applyFont="1" applyFill="1" applyBorder="1" applyAlignment="1">
      <alignment horizontal="right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right" vertical="center" wrapText="1"/>
    </xf>
    <xf numFmtId="0" fontId="13" fillId="6" borderId="13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right" wrapText="1"/>
    </xf>
    <xf numFmtId="0" fontId="5" fillId="6" borderId="7" xfId="0" applyFont="1" applyFill="1" applyBorder="1" applyAlignment="1">
      <alignment horizontal="right" wrapText="1"/>
    </xf>
    <xf numFmtId="0" fontId="13" fillId="4" borderId="8" xfId="0" applyFont="1" applyFill="1" applyBorder="1" applyAlignment="1">
      <alignment horizontal="center" wrapText="1"/>
    </xf>
    <xf numFmtId="0" fontId="13" fillId="6" borderId="12" xfId="0" applyFont="1" applyFill="1" applyBorder="1" applyAlignment="1">
      <alignment horizontal="right" wrapText="1"/>
    </xf>
    <xf numFmtId="0" fontId="13" fillId="6" borderId="13" xfId="0" applyFont="1" applyFill="1" applyBorder="1" applyAlignment="1">
      <alignment horizontal="right" wrapText="1"/>
    </xf>
    <xf numFmtId="0" fontId="16" fillId="5" borderId="8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b="1">
                <a:latin typeface="Times New Roman" panose="02020603050405020304" pitchFamily="18" charset="0"/>
                <a:cs typeface="Times New Roman" panose="02020603050405020304" pitchFamily="18" charset="0"/>
              </a:rPr>
              <a:t>Δια</a:t>
            </a:r>
            <a:r>
              <a:rPr lang="el-GR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χρονική Εξέλιξη Κεφαλαίων</a:t>
            </a:r>
            <a:endParaRPr lang="el-GR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'Κάθετη Ανάλυση'!$B$12:$D$12</c:f>
              <c:strCache>
                <c:ptCount val="3"/>
                <c:pt idx="0">
                  <c:v>Ίδια Κεφάλαια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90000"/>
                  <a:lumOff val="1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'Κάθετη Ανάλυση'!$E$11:$I$11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'Κάθετη Ανάλυση'!$E$12:$I$12</c:f>
              <c:numCache>
                <c:formatCode>#,##0.00\ "€"</c:formatCode>
                <c:ptCount val="5"/>
                <c:pt idx="0" formatCode="_-* #,##0.00\ &quot;€&quot;_-;\-* #,##0.00\ &quot;€&quot;_-;_-* &quot;-&quot;??\ &quot;€&quot;_-;_-@_-">
                  <c:v>76122459</c:v>
                </c:pt>
                <c:pt idx="1">
                  <c:v>82830965</c:v>
                </c:pt>
                <c:pt idx="2" formatCode="_-* #,##0.00\ &quot;€&quot;_-;\-* #,##0.00\ &quot;€&quot;_-;_-* &quot;-&quot;??\ &quot;€&quot;_-;_-@_-">
                  <c:v>78902000</c:v>
                </c:pt>
                <c:pt idx="3" formatCode="_-* #,##0.00\ &quot;€&quot;_-;\-* #,##0.00\ &quot;€&quot;_-;_-* &quot;-&quot;??\ &quot;€&quot;_-;_-@_-">
                  <c:v>104699000</c:v>
                </c:pt>
                <c:pt idx="4" formatCode="_-* #,##0.00\ &quot;€&quot;_-;\-* #,##0.00\ &quot;€&quot;_-;_-* &quot;-&quot;??\ &quot;€&quot;_-;_-@_-">
                  <c:v>127454000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4A-47D5-A544-0E68EFD90A84}"/>
            </c:ext>
          </c:extLst>
        </c:ser>
        <c:ser>
          <c:idx val="1"/>
          <c:order val="1"/>
          <c:tx>
            <c:strRef>
              <c:f>'Κάθετη Ανάλυση'!$B$13:$D$13</c:f>
              <c:strCache>
                <c:ptCount val="3"/>
                <c:pt idx="0">
                  <c:v>Υποχρεώσεις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'Κάθετη Ανάλυση'!$E$11:$I$11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'Κάθετη Ανάλυση'!$E$13:$I$13</c:f>
              <c:numCache>
                <c:formatCode>#,##0.00\ "€"</c:formatCode>
                <c:ptCount val="5"/>
                <c:pt idx="0">
                  <c:v>39285111</c:v>
                </c:pt>
                <c:pt idx="1">
                  <c:v>37143315</c:v>
                </c:pt>
                <c:pt idx="2" formatCode="_-* #,##0.00\ &quot;€&quot;_-;\-* #,##0.00\ &quot;€&quot;_-;_-* &quot;-&quot;??\ &quot;€&quot;_-;_-@_-">
                  <c:v>49196000</c:v>
                </c:pt>
                <c:pt idx="3" formatCode="_-* #,##0.00\ &quot;€&quot;_-;\-* #,##0.00\ &quot;€&quot;_-;_-* &quot;-&quot;??\ &quot;€&quot;_-;_-@_-">
                  <c:v>55798000</c:v>
                </c:pt>
                <c:pt idx="4" formatCode="_-* #,##0.00\ &quot;€&quot;_-;\-* #,##0.00\ &quot;€&quot;_-;_-* &quot;-&quot;??\ &quot;€&quot;_-;_-@_-">
                  <c:v>50584000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A-47D5-A544-0E68EFD90A84}"/>
            </c:ext>
          </c:extLst>
        </c:ser>
        <c:ser>
          <c:idx val="2"/>
          <c:order val="2"/>
          <c:tx>
            <c:strRef>
              <c:f>'Κάθετη Ανάλυση'!$B$14:$D$14</c:f>
              <c:strCache>
                <c:ptCount val="3"/>
                <c:pt idx="0">
                  <c:v>Σύνολο Παθητικού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'Κάθετη Ανάλυση'!$E$11:$I$11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'Κάθετη Ανάλυση'!$E$14:$I$14</c:f>
              <c:numCache>
                <c:formatCode>#,##0.00\ "€"</c:formatCode>
                <c:ptCount val="5"/>
                <c:pt idx="0" formatCode="_-* #,##0.00\ &quot;€&quot;_-;\-* #,##0.00\ &quot;€&quot;_-;_-* &quot;-&quot;??\ &quot;€&quot;_-;_-@_-">
                  <c:v>115407570</c:v>
                </c:pt>
                <c:pt idx="1">
                  <c:v>119974280</c:v>
                </c:pt>
                <c:pt idx="2" formatCode="_-* #,##0.00\ &quot;€&quot;_-;\-* #,##0.00\ &quot;€&quot;_-;_-* &quot;-&quot;??\ &quot;€&quot;_-;_-@_-">
                  <c:v>128098000</c:v>
                </c:pt>
                <c:pt idx="3" formatCode="_-* #,##0.00\ &quot;€&quot;_-;\-* #,##0.00\ &quot;€&quot;_-;_-* &quot;-&quot;??\ &quot;€&quot;_-;_-@_-">
                  <c:v>160497000</c:v>
                </c:pt>
                <c:pt idx="4" formatCode="_-* #,##0.00\ &quot;€&quot;_-;\-* #,##0.00\ &quot;€&quot;_-;_-* &quot;-&quot;??\ &quot;€&quot;_-;_-@_-">
                  <c:v>178038000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4A-47D5-A544-0E68EFD9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666591"/>
        <c:axId val="1803664671"/>
      </c:lineChart>
      <c:catAx>
        <c:axId val="18036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03664671"/>
        <c:crosses val="autoZero"/>
        <c:auto val="1"/>
        <c:lblAlgn val="ctr"/>
        <c:lblOffset val="100"/>
        <c:noMultiLvlLbl val="0"/>
      </c:catAx>
      <c:valAx>
        <c:axId val="18036646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&quot;€&quot;_-;\-* #,##0.0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0366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b="1">
                <a:latin typeface="Times New Roman" panose="02020603050405020304" pitchFamily="18" charset="0"/>
                <a:cs typeface="Times New Roman" panose="02020603050405020304" pitchFamily="18" charset="0"/>
              </a:rPr>
              <a:t>Δομή Κεφαλαίων</a:t>
            </a:r>
          </a:p>
        </c:rich>
      </c:tx>
      <c:layout>
        <c:manualLayout>
          <c:xMode val="edge"/>
          <c:yMode val="edge"/>
          <c:x val="0.34799287056816147"/>
          <c:y val="2.63912646991898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'Κάθετη Ανάλυση'!$B$20:$D$20</c:f>
              <c:strCache>
                <c:ptCount val="3"/>
                <c:pt idx="0">
                  <c:v>Ίδια Κεφάλαια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 w="19050" cap="flat" cmpd="sng" algn="ctr">
              <a:solidFill>
                <a:schemeClr val="dk1"/>
              </a:solidFill>
              <a:prstDash val="solid"/>
              <a:miter lim="800000"/>
            </a:ln>
            <a:effectLst/>
            <a:sp3d contourW="19050">
              <a:contourClr>
                <a:schemeClr val="dk1"/>
              </a:contourClr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65,96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0EB-4192-84C8-716A7DDB88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69,04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80EB-4192-84C8-716A7DDB88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61,60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0EB-4192-84C8-716A7DDB88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65,23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80EB-4192-84C8-716A7DDB8820}"/>
                </c:ext>
              </c:extLst>
            </c:dLbl>
            <c:dLbl>
              <c:idx val="4"/>
              <c:layout>
                <c:manualLayout>
                  <c:x val="0"/>
                  <c:y val="-6.5960436214728955E-17"/>
                </c:manualLayout>
              </c:layout>
              <c:tx>
                <c:rich>
                  <a:bodyPr/>
                  <a:lstStyle/>
                  <a:p>
                    <a:r>
                      <a:rPr lang="en-US" sz="10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71,59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0EB-4192-84C8-716A7DDB88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'Κάθετη Ανάλυση'!$E$19:$N$19</c15:sqref>
                  </c15:fullRef>
                </c:ext>
              </c:extLst>
              <c:f>('Κάθετη Ανάλυση'!$E$19,'Κάθετη Ανάλυση'!$G$19,'Κάθετη Ανάλυση'!$I$19,'Κάθετη Ανάλυση'!$K$19,'Κάθετη Ανάλυση'!$M$19)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'Κάθετη Ανάλυση'!$E$20:$N$20</c15:sqref>
                  </c15:fullRef>
                </c:ext>
              </c:extLst>
              <c:f>('Κάθετη Ανάλυση'!$E$20,'Κάθετη Ανάλυση'!$G$20,'Κάθετη Ανάλυση'!$I$20,'Κάθετη Ανάλυση'!$K$20,'Κάθετη Ανάλυση'!$M$20)</c:f>
              <c:numCache>
                <c:formatCode>#,##0.00</c:formatCode>
                <c:ptCount val="5"/>
                <c:pt idx="0" formatCode="_-* #,##0.00\ &quot;€&quot;_-;\-* #,##0.00\ &quot;€&quot;_-;_-* &quot;-&quot;??\ &quot;€&quot;_-;_-@_-">
                  <c:v>76122459</c:v>
                </c:pt>
                <c:pt idx="1" formatCode="#,##0.00\ &quot;€&quot;">
                  <c:v>82830965</c:v>
                </c:pt>
                <c:pt idx="2" formatCode="_-* #,##0.00\ &quot;€&quot;_-;\-* #,##0.00\ &quot;€&quot;_-;_-* &quot;-&quot;??\ &quot;€&quot;_-;_-@_-">
                  <c:v>78902000</c:v>
                </c:pt>
                <c:pt idx="3" formatCode="_-* #,##0.00\ &quot;€&quot;_-;\-* #,##0.00\ &quot;€&quot;_-;_-* &quot;-&quot;??\ &quot;€&quot;_-;_-@_-">
                  <c:v>104699000</c:v>
                </c:pt>
                <c:pt idx="4" formatCode="_-* #,##0.00\ &quot;€&quot;_-;\-* #,##0.00\ &quot;€&quot;_-;_-* &quot;-&quot;??\ &quot;€&quot;_-;_-@_-">
                  <c:v>127454000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B-4192-84C8-716A7DDB8820}"/>
            </c:ext>
          </c:extLst>
        </c:ser>
        <c:ser>
          <c:idx val="1"/>
          <c:order val="1"/>
          <c:tx>
            <c:strRef>
              <c:f>'Κάθετη Ανάλυση'!$B$21:$D$21</c:f>
              <c:strCache>
                <c:ptCount val="3"/>
                <c:pt idx="0">
                  <c:v>Υποχρεώσεις</c:v>
                </c:pt>
              </c:strCache>
            </c:strRef>
          </c:tx>
          <c:spPr>
            <a:solidFill>
              <a:schemeClr val="accent2"/>
            </a:solidFill>
            <a:ln w="19050" cap="flat" cmpd="sng" algn="ctr">
              <a:solidFill>
                <a:schemeClr val="dk1"/>
              </a:solidFill>
              <a:prstDash val="solid"/>
              <a:miter lim="800000"/>
            </a:ln>
            <a:effectLst/>
            <a:sp3d contourW="19050">
              <a:contourClr>
                <a:schemeClr val="dk1"/>
              </a:contourClr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34,04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EB-4192-84C8-716A7DDB88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30,96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EB-4192-84C8-716A7DDB88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38,40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0EB-4192-84C8-716A7DDB88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34,77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0EB-4192-84C8-716A7DDB882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28,41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671211431964122E-2"/>
                      <c:h val="7.910798910684963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80EB-4192-84C8-716A7DDB88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'Κάθετη Ανάλυση'!$E$19:$N$19</c15:sqref>
                  </c15:fullRef>
                </c:ext>
              </c:extLst>
              <c:f>('Κάθετη Ανάλυση'!$E$19,'Κάθετη Ανάλυση'!$G$19,'Κάθετη Ανάλυση'!$I$19,'Κάθετη Ανάλυση'!$K$19,'Κάθετη Ανάλυση'!$M$19)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'Κάθετη Ανάλυση'!$E$21:$N$21</c15:sqref>
                  </c15:fullRef>
                </c:ext>
              </c:extLst>
              <c:f>('Κάθετη Ανάλυση'!$E$21,'Κάθετη Ανάλυση'!$G$21,'Κάθετη Ανάλυση'!$I$21,'Κάθετη Ανάλυση'!$K$21,'Κάθετη Ανάλυση'!$M$21)</c:f>
              <c:numCache>
                <c:formatCode>#,##0.00</c:formatCode>
                <c:ptCount val="5"/>
                <c:pt idx="0" formatCode="#,##0.00\ &quot;€&quot;">
                  <c:v>39285111</c:v>
                </c:pt>
                <c:pt idx="1" formatCode="#,##0.00\ &quot;€&quot;">
                  <c:v>37143315</c:v>
                </c:pt>
                <c:pt idx="2" formatCode="_-* #,##0.00\ &quot;€&quot;_-;\-* #,##0.00\ &quot;€&quot;_-;_-* &quot;-&quot;??\ &quot;€&quot;_-;_-@_-">
                  <c:v>49196000</c:v>
                </c:pt>
                <c:pt idx="3" formatCode="_-* #,##0.00\ &quot;€&quot;_-;\-* #,##0.00\ &quot;€&quot;_-;_-* &quot;-&quot;??\ &quot;€&quot;_-;_-@_-">
                  <c:v>55798000</c:v>
                </c:pt>
                <c:pt idx="4" formatCode="_-* #,##0.00\ &quot;€&quot;_-;\-* #,##0.00\ &quot;€&quot;_-;_-* &quot;-&quot;??\ &quot;€&quot;_-;_-@_-">
                  <c:v>50584000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B-4192-84C8-716A7DDB8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2"/>
        <c:shape val="box"/>
        <c:axId val="1803595551"/>
        <c:axId val="1803600351"/>
        <c:axId val="0"/>
      </c:bar3DChart>
      <c:catAx>
        <c:axId val="180359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03600351"/>
        <c:crosses val="autoZero"/>
        <c:auto val="1"/>
        <c:lblAlgn val="ctr"/>
        <c:lblOffset val="100"/>
        <c:noMultiLvlLbl val="0"/>
      </c:catAx>
      <c:valAx>
        <c:axId val="180360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0359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b="1">
                <a:latin typeface="Times New Roman" panose="02020603050405020304" pitchFamily="18" charset="0"/>
                <a:cs typeface="Times New Roman" panose="02020603050405020304" pitchFamily="18" charset="0"/>
              </a:rPr>
              <a:t>Διαχρονική</a:t>
            </a:r>
            <a:r>
              <a:rPr lang="el-GR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Εξέλιξη Ενεργητικού</a:t>
            </a:r>
            <a:endParaRPr lang="el-GR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'Κάθετη Ανάλυση'!$B$57:$D$57</c:f>
              <c:strCache>
                <c:ptCount val="3"/>
                <c:pt idx="0">
                  <c:v>Πάγιο Ενεργητικό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90000"/>
                  <a:lumOff val="1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'Κάθετη Ανάλυση'!$E$56:$I$56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'Κάθετη Ανάλυση'!$E$57:$I$57</c:f>
              <c:numCache>
                <c:formatCode>_-* #,##0.00\ "€"_-;\-* #,##0.00\ "€"_-;_-* "-"??\ "€"_-;_-@_-</c:formatCode>
                <c:ptCount val="5"/>
                <c:pt idx="0">
                  <c:v>65664950</c:v>
                </c:pt>
                <c:pt idx="1">
                  <c:v>72075030</c:v>
                </c:pt>
                <c:pt idx="2">
                  <c:v>74776634</c:v>
                </c:pt>
                <c:pt idx="3">
                  <c:v>82970053</c:v>
                </c:pt>
                <c:pt idx="4">
                  <c:v>103347718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C8-43B4-A264-9DE0BA272E37}"/>
            </c:ext>
          </c:extLst>
        </c:ser>
        <c:ser>
          <c:idx val="1"/>
          <c:order val="1"/>
          <c:tx>
            <c:strRef>
              <c:f>'Κάθετη Ανάλυση'!$B$58:$D$58</c:f>
              <c:strCache>
                <c:ptCount val="3"/>
                <c:pt idx="0">
                  <c:v>Κυκλοφορούν Ενεργητικό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'Κάθετη Ανάλυση'!$E$56:$I$56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'Κάθετη Ανάλυση'!$E$58:$I$58</c:f>
              <c:numCache>
                <c:formatCode>_-* #,##0.00\ "€"_-;\-* #,##0.00\ "€"_-;_-* "-"??\ "€"_-;_-@_-</c:formatCode>
                <c:ptCount val="5"/>
                <c:pt idx="0">
                  <c:v>49742620</c:v>
                </c:pt>
                <c:pt idx="1">
                  <c:v>47899250</c:v>
                </c:pt>
                <c:pt idx="2">
                  <c:v>53321210</c:v>
                </c:pt>
                <c:pt idx="3">
                  <c:v>77526884</c:v>
                </c:pt>
                <c:pt idx="4">
                  <c:v>74689969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C8-43B4-A264-9DE0BA272E37}"/>
            </c:ext>
          </c:extLst>
        </c:ser>
        <c:ser>
          <c:idx val="2"/>
          <c:order val="2"/>
          <c:tx>
            <c:strRef>
              <c:f>'Κάθετη Ανάλυση'!$B$59:$D$59</c:f>
              <c:strCache>
                <c:ptCount val="3"/>
                <c:pt idx="0">
                  <c:v>Σύνολο Ενεργητικού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'Κάθετη Ανάλυση'!$E$56:$I$56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'Κάθετη Ανάλυση'!$E$59:$I$59</c:f>
              <c:numCache>
                <c:formatCode>#,##0.00\ "€"</c:formatCode>
                <c:ptCount val="5"/>
                <c:pt idx="0">
                  <c:v>115407570</c:v>
                </c:pt>
                <c:pt idx="1">
                  <c:v>119974280</c:v>
                </c:pt>
                <c:pt idx="2">
                  <c:v>128097844</c:v>
                </c:pt>
                <c:pt idx="3">
                  <c:v>160496937</c:v>
                </c:pt>
                <c:pt idx="4">
                  <c:v>178037687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C8-43B4-A264-9DE0BA272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7562127"/>
        <c:axId val="1797561167"/>
      </c:lineChart>
      <c:catAx>
        <c:axId val="179756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97561167"/>
        <c:crosses val="autoZero"/>
        <c:auto val="1"/>
        <c:lblAlgn val="ctr"/>
        <c:lblOffset val="100"/>
        <c:noMultiLvlLbl val="0"/>
      </c:catAx>
      <c:valAx>
        <c:axId val="179756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&quot;€&quot;_-;\-* #,##0.0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9756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b="1">
                <a:latin typeface="Times New Roman" panose="02020603050405020304" pitchFamily="18" charset="0"/>
                <a:cs typeface="Times New Roman" panose="02020603050405020304" pitchFamily="18" charset="0"/>
              </a:rPr>
              <a:t>Δομή Ενεργητικού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'Κάθετη Ανάλυση'!$B$65:$D$65</c:f>
              <c:strCache>
                <c:ptCount val="3"/>
                <c:pt idx="0">
                  <c:v>Πάγιο Ενεργητικό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 w="19050">
              <a:solidFill>
                <a:schemeClr val="dk1"/>
              </a:solidFill>
            </a:ln>
            <a:effectLst/>
            <a:sp3d contourW="19050">
              <a:contourClr>
                <a:schemeClr val="dk1"/>
              </a:contourClr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56,90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560-4BE0-9373-9E12F50C99E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60,08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560-4BE0-9373-9E12F50C99E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58,37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1560-4BE0-9373-9E12F50C99E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51,70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1560-4BE0-9373-9E12F50C99E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58,05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1560-4BE0-9373-9E12F50C99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'Κάθετη Ανάλυση'!$E$64:$N$64</c15:sqref>
                  </c15:fullRef>
                </c:ext>
              </c:extLst>
              <c:f>('Κάθετη Ανάλυση'!$E$64,'Κάθετη Ανάλυση'!$G$64,'Κάθετη Ανάλυση'!$I$64,'Κάθετη Ανάλυση'!$K$64,'Κάθετη Ανάλυση'!$M$64)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'Κάθετη Ανάλυση'!$E$65:$N$65</c15:sqref>
                  </c15:fullRef>
                </c:ext>
              </c:extLst>
              <c:f>('Κάθετη Ανάλυση'!$E$65,'Κάθετη Ανάλυση'!$G$65,'Κάθετη Ανάλυση'!$I$65,'Κάθετη Ανάλυση'!$K$65,'Κάθετη Ανάλυση'!$M$65)</c:f>
              <c:numCache>
                <c:formatCode>#,##0.00</c:formatCode>
                <c:ptCount val="5"/>
                <c:pt idx="0" formatCode="_-* #,##0.00\ &quot;€&quot;_-;\-* #,##0.00\ &quot;€&quot;_-;_-* &quot;-&quot;??\ &quot;€&quot;_-;_-@_-">
                  <c:v>65664950</c:v>
                </c:pt>
                <c:pt idx="1" formatCode="_-* #,##0.00\ &quot;€&quot;_-;\-* #,##0.00\ &quot;€&quot;_-;_-* &quot;-&quot;??\ &quot;€&quot;_-;_-@_-">
                  <c:v>72075030</c:v>
                </c:pt>
                <c:pt idx="2" formatCode="_-* #,##0.00\ &quot;€&quot;_-;\-* #,##0.00\ &quot;€&quot;_-;_-* &quot;-&quot;??\ &quot;€&quot;_-;_-@_-">
                  <c:v>74776634</c:v>
                </c:pt>
                <c:pt idx="3" formatCode="_-* #,##0.00\ &quot;€&quot;_-;\-* #,##0.00\ &quot;€&quot;_-;_-* &quot;-&quot;??\ &quot;€&quot;_-;_-@_-">
                  <c:v>82970053</c:v>
                </c:pt>
                <c:pt idx="4" formatCode="_-* #,##0.00\ &quot;€&quot;_-;\-* #,##0.00\ &quot;€&quot;_-;_-* &quot;-&quot;??\ &quot;€&quot;_-;_-@_-">
                  <c:v>103347718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0-4BE0-9373-9E12F50C99E6}"/>
            </c:ext>
          </c:extLst>
        </c:ser>
        <c:ser>
          <c:idx val="1"/>
          <c:order val="1"/>
          <c:tx>
            <c:strRef>
              <c:f>'Κάθετη Ανάλυση'!$B$66:$D$66</c:f>
              <c:strCache>
                <c:ptCount val="3"/>
                <c:pt idx="0">
                  <c:v>Κυκλοφορούν Ενεργητικό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dk1"/>
              </a:solidFill>
            </a:ln>
            <a:effectLst/>
            <a:sp3d contourW="19050">
              <a:contourClr>
                <a:schemeClr val="dk1"/>
              </a:contourClr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43,10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560-4BE0-9373-9E12F50C99E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39,92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560-4BE0-9373-9E12F50C99E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41,63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560-4BE0-9373-9E12F50C99E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48,30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560-4BE0-9373-9E12F50C99E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41,95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560-4BE0-9373-9E12F50C99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'Κάθετη Ανάλυση'!$E$64:$N$64</c15:sqref>
                  </c15:fullRef>
                </c:ext>
              </c:extLst>
              <c:f>('Κάθετη Ανάλυση'!$E$64,'Κάθετη Ανάλυση'!$G$64,'Κάθετη Ανάλυση'!$I$64,'Κάθετη Ανάλυση'!$K$64,'Κάθετη Ανάλυση'!$M$64)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'Κάθετη Ανάλυση'!$E$66:$N$66</c15:sqref>
                  </c15:fullRef>
                </c:ext>
              </c:extLst>
              <c:f>('Κάθετη Ανάλυση'!$E$66,'Κάθετη Ανάλυση'!$G$66,'Κάθετη Ανάλυση'!$I$66,'Κάθετη Ανάλυση'!$K$66,'Κάθετη Ανάλυση'!$M$66)</c:f>
              <c:numCache>
                <c:formatCode>#,##0.00</c:formatCode>
                <c:ptCount val="5"/>
                <c:pt idx="0" formatCode="_-* #,##0.00\ &quot;€&quot;_-;\-* #,##0.00\ &quot;€&quot;_-;_-* &quot;-&quot;??\ &quot;€&quot;_-;_-@_-">
                  <c:v>49742620</c:v>
                </c:pt>
                <c:pt idx="1" formatCode="_-* #,##0.00\ &quot;€&quot;_-;\-* #,##0.00\ &quot;€&quot;_-;_-* &quot;-&quot;??\ &quot;€&quot;_-;_-@_-">
                  <c:v>47899250</c:v>
                </c:pt>
                <c:pt idx="2" formatCode="_-* #,##0.00\ &quot;€&quot;_-;\-* #,##0.00\ &quot;€&quot;_-;_-* &quot;-&quot;??\ &quot;€&quot;_-;_-@_-">
                  <c:v>53321210</c:v>
                </c:pt>
                <c:pt idx="3" formatCode="_-* #,##0.00\ &quot;€&quot;_-;\-* #,##0.00\ &quot;€&quot;_-;_-* &quot;-&quot;??\ &quot;€&quot;_-;_-@_-">
                  <c:v>77526884</c:v>
                </c:pt>
                <c:pt idx="4" formatCode="_-* #,##0.00\ &quot;€&quot;_-;\-* #,##0.00\ &quot;€&quot;_-;_-* &quot;-&quot;??\ &quot;€&quot;_-;_-@_-">
                  <c:v>74689969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60-4BE0-9373-9E12F50C99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22"/>
        <c:shape val="box"/>
        <c:axId val="119884559"/>
        <c:axId val="119886479"/>
        <c:axId val="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'Κάθετη Ανάλυση'!$B$67:$D$67</c15:sqref>
                        </c15:formulaRef>
                      </c:ext>
                    </c:extLst>
                    <c:strCache>
                      <c:ptCount val="3"/>
                      <c:pt idx="0">
                        <c:v>Σύνολο Ενεργητικού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l-G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'Κάθετη Ανάλυση'!$E$64:$N$64</c15:sqref>
                        </c15:fullRef>
                        <c15:formulaRef>
                          <c15:sqref>('Κάθετη Ανάλυση'!$E$64,'Κάθετη Ανάλυση'!$G$64,'Κάθετη Ανάλυση'!$I$64,'Κάθετη Ανάλυση'!$K$64,'Κάθετη Ανάλυση'!$M$64)</c15:sqref>
                        </c15:formulaRef>
                      </c:ext>
                    </c:extLst>
                    <c:strCach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'Κάθετη Ανάλυση'!$E$67:$N$67</c15:sqref>
                        </c15:fullRef>
                        <c15:formulaRef>
                          <c15:sqref>('Κάθετη Ανάλυση'!$E$67,'Κάθετη Ανάλυση'!$G$67,'Κάθετη Ανάλυση'!$I$67,'Κάθετη Ανάλυση'!$K$67,'Κάθετη Ανάλυση'!$M$67)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 formatCode="#,##0.00\ &quot;€&quot;">
                        <c:v>115407570</c:v>
                      </c:pt>
                      <c:pt idx="1" formatCode="#,##0.00\ &quot;€&quot;">
                        <c:v>119974280</c:v>
                      </c:pt>
                      <c:pt idx="2" formatCode="#,##0.00\ &quot;€&quot;">
                        <c:v>128097844</c:v>
                      </c:pt>
                      <c:pt idx="3" formatCode="#,##0.00\ &quot;€&quot;">
                        <c:v>160496937</c:v>
                      </c:pt>
                      <c:pt idx="4" formatCode="#,##0.00\ &quot;€&quot;">
                        <c:v>178037687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560-4BE0-9373-9E12F50C99E6}"/>
                  </c:ext>
                </c:extLst>
              </c15:ser>
            </c15:filteredBarSeries>
          </c:ext>
        </c:extLst>
      </c:bar3DChart>
      <c:catAx>
        <c:axId val="11988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9886479"/>
        <c:crosses val="autoZero"/>
        <c:auto val="1"/>
        <c:lblAlgn val="ctr"/>
        <c:lblOffset val="100"/>
        <c:noMultiLvlLbl val="0"/>
      </c:catAx>
      <c:valAx>
        <c:axId val="11988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988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22411</xdr:colOff>
      <xdr:row>23</xdr:row>
      <xdr:rowOff>33616</xdr:rowOff>
    </xdr:from>
    <xdr:to>
      <xdr:col>7</xdr:col>
      <xdr:colOff>1277469</xdr:colOff>
      <xdr:row>41</xdr:row>
      <xdr:rowOff>156881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B5FB348A-6D83-0246-79D2-FA2417FFF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936423</xdr:colOff>
      <xdr:row>43</xdr:row>
      <xdr:rowOff>42388</xdr:rowOff>
    </xdr:from>
    <xdr:ext cx="7030960" cy="113423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E57019C-CD7A-FF3F-CB88-816B6BCD86A8}"/>
            </a:ext>
          </a:extLst>
        </xdr:cNvPr>
        <xdr:cNvSpPr txBox="1"/>
      </xdr:nvSpPr>
      <xdr:spPr>
        <a:xfrm>
          <a:off x="1541541" y="8906241"/>
          <a:ext cx="7030960" cy="11342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Μπορούμε</a:t>
          </a:r>
          <a:r>
            <a:rPr lang="el-GR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εύκολα να παρατηρήσουμε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την 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ανάκαμψη μετά την πανδημία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. Μετά το 2022, τα μεγέθη 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αυξάνονται.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Τόσο τα Ίδια Κεφάλαια όσο και οι Υποχρεώσεις ανεβαίνουν μαζί, κάτι που σημαίνει ότι η εταιρεία όχι μόνο ανέκαμψε, αλλά και 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μεγέθυνε το συνολικό της μέγεθος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με γρήγορους ρυθμούς. Έχουμε δηλαδή μια ξεκάθαρη 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αναπτυξιακή τάση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που υποστηρίζεται από αυξημένη χρηματοδότηση.</a:t>
          </a:r>
        </a:p>
      </xdr:txBody>
    </xdr:sp>
    <xdr:clientData/>
  </xdr:oneCellAnchor>
  <xdr:twoCellAnchor>
    <xdr:from>
      <xdr:col>9</xdr:col>
      <xdr:colOff>22412</xdr:colOff>
      <xdr:row>23</xdr:row>
      <xdr:rowOff>44822</xdr:rowOff>
    </xdr:from>
    <xdr:to>
      <xdr:col>13</xdr:col>
      <xdr:colOff>1255058</xdr:colOff>
      <xdr:row>41</xdr:row>
      <xdr:rowOff>145675</xdr:rowOff>
    </xdr:to>
    <xdr:graphicFrame macro="">
      <xdr:nvGraphicFramePr>
        <xdr:cNvPr id="11" name="Γράφημα 10">
          <a:extLst>
            <a:ext uri="{FF2B5EF4-FFF2-40B4-BE49-F238E27FC236}">
              <a16:creationId xmlns:a16="http://schemas.microsoft.com/office/drawing/2014/main" id="{EE0570B4-EF92-C879-FB85-41CB24BCF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44823</xdr:colOff>
      <xdr:row>68</xdr:row>
      <xdr:rowOff>45943</xdr:rowOff>
    </xdr:from>
    <xdr:to>
      <xdr:col>7</xdr:col>
      <xdr:colOff>1288676</xdr:colOff>
      <xdr:row>86</xdr:row>
      <xdr:rowOff>156882</xdr:rowOff>
    </xdr:to>
    <xdr:graphicFrame macro="">
      <xdr:nvGraphicFramePr>
        <xdr:cNvPr id="12" name="Γράφημα 11">
          <a:extLst>
            <a:ext uri="{FF2B5EF4-FFF2-40B4-BE49-F238E27FC236}">
              <a16:creationId xmlns:a16="http://schemas.microsoft.com/office/drawing/2014/main" id="{90BE6512-883F-2F61-5ABE-D09B75813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44823</xdr:colOff>
      <xdr:row>68</xdr:row>
      <xdr:rowOff>34738</xdr:rowOff>
    </xdr:from>
    <xdr:to>
      <xdr:col>13</xdr:col>
      <xdr:colOff>1255058</xdr:colOff>
      <xdr:row>86</xdr:row>
      <xdr:rowOff>145676</xdr:rowOff>
    </xdr:to>
    <xdr:graphicFrame macro="">
      <xdr:nvGraphicFramePr>
        <xdr:cNvPr id="13" name="Γράφημα 12">
          <a:extLst>
            <a:ext uri="{FF2B5EF4-FFF2-40B4-BE49-F238E27FC236}">
              <a16:creationId xmlns:a16="http://schemas.microsoft.com/office/drawing/2014/main" id="{638B42BB-B905-0386-E008-0238DA3E0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9</xdr:col>
      <xdr:colOff>22411</xdr:colOff>
      <xdr:row>43</xdr:row>
      <xdr:rowOff>33617</xdr:rowOff>
    </xdr:from>
    <xdr:ext cx="6521824" cy="117661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D896AD-FE27-0449-256F-0AFFA3AA1A22}"/>
            </a:ext>
          </a:extLst>
        </xdr:cNvPr>
        <xdr:cNvSpPr txBox="1"/>
      </xdr:nvSpPr>
      <xdr:spPr>
        <a:xfrm>
          <a:off x="9973235" y="8897470"/>
          <a:ext cx="6521824" cy="11766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Σύμφωνα</a:t>
          </a:r>
          <a:r>
            <a:rPr lang="el-GR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με το διάγραμμα της Δομής Κεφαλαίων παρατηρούμε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 ότι η εταιρεία </a:t>
          </a:r>
          <a:r>
            <a:rPr lang="el-GR" sz="1400" b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ενισχύει τη θέση της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: τα </a:t>
          </a:r>
          <a:r>
            <a:rPr lang="el-GR" sz="1400" b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Ίδια Κεφάλαια κερδίζουν έδαφος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(πάνω από </a:t>
          </a:r>
          <a:r>
            <a:rPr lang="el-GR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71%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 το 2024) σε βάρος των Υποχρεώσεων. Πρακτικά, αυτό σημαίνει ότι η εταιρεία γίνεται </a:t>
          </a:r>
          <a:r>
            <a:rPr lang="el-GR" sz="1400" b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πιο σταθερή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και </a:t>
          </a:r>
          <a:r>
            <a:rPr lang="el-GR" sz="1400" b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λιγότερο εξαρτημένη από δανεισμό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(μείωση 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leverage).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Είναι μια πολύ καλή εικόνα χρηματοοικονομικής αυτονομίας και υγείας.</a:t>
          </a:r>
        </a:p>
      </xdr:txBody>
    </xdr:sp>
    <xdr:clientData/>
  </xdr:oneCellAnchor>
  <xdr:oneCellAnchor>
    <xdr:from>
      <xdr:col>2</xdr:col>
      <xdr:colOff>22411</xdr:colOff>
      <xdr:row>88</xdr:row>
      <xdr:rowOff>22411</xdr:rowOff>
    </xdr:from>
    <xdr:ext cx="6958853" cy="15376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3C3F4D-065E-BE45-C93A-EF4B5B7FC003}"/>
            </a:ext>
          </a:extLst>
        </xdr:cNvPr>
        <xdr:cNvSpPr txBox="1"/>
      </xdr:nvSpPr>
      <xdr:spPr>
        <a:xfrm>
          <a:off x="1624852" y="18142323"/>
          <a:ext cx="6958853" cy="1537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l-GR" sz="1400" b="0" i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Το παραπάνω γράφημα είναι ξεκάθαρα αναπτυξιακό,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 καθώς το 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Σύνολο Ενεργητικού αυξάνεται σταθερά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και δυναμικά από το 2020 έως το 2024. Το ενδιαφέρον είναι ότι ο 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κύριος μοχλός ανάπτυξης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είναι τα 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Πάγια Ενεργητικά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, τα οποία ανεβαίνουν συνεχώς, φτάνοντας στην κορυφή το 2024. Αντίθετα, το Κυκλοφορούν Ενεργητικό, ενώ ανεβαίνει μέχρι το 2023, παρουσιάζει μια 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μικρή υποχώρηση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 το 2024. Αυτό σημαίνει ότι η εταιρεία δίνει 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έμφαση σε μακροπρόθεσμες επενδύσεις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 (π.χ. εξοπλισμός, κτίρια) και λιγότερο σε ρευστά στοιχεία ή αποθέματα το τελευταίο έτος.</a:t>
          </a:r>
        </a:p>
      </xdr:txBody>
    </xdr:sp>
    <xdr:clientData/>
  </xdr:oneCellAnchor>
  <xdr:oneCellAnchor>
    <xdr:from>
      <xdr:col>8</xdr:col>
      <xdr:colOff>1322294</xdr:colOff>
      <xdr:row>88</xdr:row>
      <xdr:rowOff>22412</xdr:rowOff>
    </xdr:from>
    <xdr:ext cx="6432176" cy="133113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BC80661-1C33-DE3D-94BC-970DE46B34A5}"/>
            </a:ext>
          </a:extLst>
        </xdr:cNvPr>
        <xdr:cNvSpPr txBox="1"/>
      </xdr:nvSpPr>
      <xdr:spPr>
        <a:xfrm>
          <a:off x="9939618" y="18142324"/>
          <a:ext cx="6432176" cy="13311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Η Δομή Ενεργητικού δείχνει τη στρατηγική επιλογή της επιχείρησης να </a:t>
          </a:r>
          <a:r>
            <a:rPr lang="el-GR" sz="1400" b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επενδύει σε Πάγια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. Από το 2020 έως το 2022, τα </a:t>
          </a:r>
          <a:r>
            <a:rPr lang="el-GR" sz="1400" b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Πάγια είναι σταθερά πλειοψηφικά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(γύρω στο </a:t>
          </a:r>
          <a:r>
            <a:rPr lang="el-GR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60%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), αλλά το 2023 υπάρχει μια </a:t>
          </a:r>
          <a:r>
            <a:rPr lang="el-GR" sz="1400" b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σημαντική αλλαγή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: το ποσοστό τους μειώνεται στο </a:t>
          </a:r>
          <a:r>
            <a:rPr lang="el-GR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53,70%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 υπέρ του Κυκλοφορούντος, για να </a:t>
          </a:r>
          <a:r>
            <a:rPr lang="el-GR" sz="1400" b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ανακάμψει ξανά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στο </a:t>
          </a:r>
          <a:r>
            <a:rPr lang="el-GR" sz="14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58,05%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 το 2024. Γενικά, η υπεροχή των Παγίων δείχνει ότι η επιχείρηση </a:t>
          </a:r>
          <a:r>
            <a:rPr lang="el-GR" sz="1400" b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βασίζεται σε υποδομές και μηχανήματα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, κάτι που επιβεβαιώνει τη συνολική της ανάπτυξη.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0E33-269C-4F62-A4DC-C387B792902D}">
  <dimension ref="B2:P67"/>
  <sheetViews>
    <sheetView tabSelected="1" zoomScale="55" zoomScaleNormal="55" workbookViewId="0">
      <selection activeCell="T19" sqref="T19"/>
    </sheetView>
  </sheetViews>
  <sheetFormatPr defaultRowHeight="14.4" x14ac:dyDescent="0.3"/>
  <cols>
    <col min="2" max="2" width="15" customWidth="1"/>
    <col min="3" max="4" width="12.5546875" customWidth="1"/>
    <col min="5" max="10" width="20" customWidth="1"/>
    <col min="11" max="14" width="19.44140625" customWidth="1"/>
  </cols>
  <sheetData>
    <row r="2" spans="2:14" ht="15.6" x14ac:dyDescent="0.3"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2:14" ht="15.6" x14ac:dyDescent="0.3">
      <c r="B3" s="4"/>
      <c r="C3" s="5"/>
      <c r="D3" s="5"/>
      <c r="E3" s="5"/>
      <c r="F3" s="5"/>
      <c r="G3" s="5"/>
      <c r="H3" s="5"/>
      <c r="I3" s="6"/>
      <c r="J3" s="6"/>
      <c r="K3" s="6"/>
      <c r="L3" s="6"/>
      <c r="M3" s="7"/>
      <c r="N3" s="8"/>
    </row>
    <row r="4" spans="2:14" ht="15.6" x14ac:dyDescent="0.3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7"/>
      <c r="N4" s="11"/>
    </row>
    <row r="5" spans="2:14" ht="15.6" x14ac:dyDescent="0.3">
      <c r="B5" s="64" t="s">
        <v>15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6"/>
    </row>
    <row r="6" spans="2:14" ht="15.6" x14ac:dyDescent="0.3">
      <c r="B6" s="12"/>
      <c r="C6" s="13"/>
      <c r="D6" s="13"/>
      <c r="E6" s="13"/>
      <c r="F6" s="13"/>
      <c r="G6" s="13"/>
      <c r="H6" s="13"/>
      <c r="I6" s="10"/>
      <c r="J6" s="10"/>
      <c r="K6" s="10"/>
      <c r="L6" s="10"/>
      <c r="M6" s="7"/>
      <c r="N6" s="11"/>
    </row>
    <row r="7" spans="2:14" ht="15.6" x14ac:dyDescent="0.3">
      <c r="B7" s="14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5"/>
    </row>
    <row r="8" spans="2:14" ht="15.6" x14ac:dyDescent="0.3">
      <c r="B8" s="51" t="s">
        <v>9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3"/>
    </row>
    <row r="9" spans="2:14" x14ac:dyDescent="0.3">
      <c r="B9" s="29" t="s">
        <v>0</v>
      </c>
      <c r="C9" s="30"/>
      <c r="D9" s="30"/>
      <c r="E9" s="30"/>
      <c r="F9" s="30"/>
      <c r="G9" s="30"/>
      <c r="H9" s="30"/>
      <c r="I9" s="30"/>
      <c r="J9" s="1"/>
      <c r="K9" s="1"/>
      <c r="L9" s="1"/>
      <c r="M9" s="1"/>
      <c r="N9" s="1"/>
    </row>
    <row r="10" spans="2:14" ht="18.75" customHeight="1" x14ac:dyDescent="0.3">
      <c r="B10" s="54" t="s">
        <v>1</v>
      </c>
      <c r="C10" s="54"/>
      <c r="D10" s="54"/>
      <c r="E10" s="61" t="s">
        <v>2</v>
      </c>
      <c r="F10" s="61"/>
      <c r="G10" s="62"/>
      <c r="H10" s="62"/>
      <c r="I10" s="63"/>
      <c r="J10" s="2"/>
      <c r="K10" s="1"/>
      <c r="L10" s="1"/>
      <c r="M10" s="1"/>
      <c r="N10" s="1"/>
    </row>
    <row r="11" spans="2:14" ht="18.75" customHeight="1" x14ac:dyDescent="0.3">
      <c r="B11" s="55"/>
      <c r="C11" s="55"/>
      <c r="D11" s="55"/>
      <c r="E11" s="31">
        <v>2020</v>
      </c>
      <c r="F11" s="32">
        <v>2021</v>
      </c>
      <c r="G11" s="33">
        <v>2022</v>
      </c>
      <c r="H11" s="34">
        <v>2023</v>
      </c>
      <c r="I11" s="35">
        <v>2024</v>
      </c>
      <c r="J11" s="2"/>
      <c r="K11" s="1"/>
      <c r="L11" s="1"/>
      <c r="M11" s="1"/>
      <c r="N11" s="1"/>
    </row>
    <row r="12" spans="2:14" ht="18.75" customHeight="1" x14ac:dyDescent="0.3">
      <c r="B12" s="56" t="s">
        <v>3</v>
      </c>
      <c r="C12" s="56"/>
      <c r="D12" s="56"/>
      <c r="E12" s="36">
        <v>76122459</v>
      </c>
      <c r="F12" s="37">
        <v>82830965</v>
      </c>
      <c r="G12" s="38">
        <v>78902000</v>
      </c>
      <c r="H12" s="39">
        <v>104699000</v>
      </c>
      <c r="I12" s="38">
        <v>127454000</v>
      </c>
      <c r="J12" s="3"/>
      <c r="K12" s="1"/>
      <c r="L12" s="1"/>
      <c r="M12" s="1"/>
      <c r="N12" s="1"/>
    </row>
    <row r="13" spans="2:14" ht="18.75" customHeight="1" x14ac:dyDescent="0.3">
      <c r="B13" s="56" t="s">
        <v>4</v>
      </c>
      <c r="C13" s="56"/>
      <c r="D13" s="56"/>
      <c r="E13" s="37">
        <v>39285111</v>
      </c>
      <c r="F13" s="37">
        <v>37143315</v>
      </c>
      <c r="G13" s="36">
        <v>49196000</v>
      </c>
      <c r="H13" s="38">
        <v>55798000</v>
      </c>
      <c r="I13" s="39">
        <v>50584000</v>
      </c>
      <c r="J13" s="3"/>
      <c r="K13" s="1"/>
      <c r="L13" s="1"/>
      <c r="M13" s="1"/>
      <c r="N13" s="1"/>
    </row>
    <row r="14" spans="2:14" ht="18.75" customHeight="1" x14ac:dyDescent="0.3">
      <c r="B14" s="70" t="s">
        <v>5</v>
      </c>
      <c r="C14" s="70"/>
      <c r="D14" s="71"/>
      <c r="E14" s="40">
        <f>E12+E13</f>
        <v>115407570</v>
      </c>
      <c r="F14" s="41">
        <f>F12+F13</f>
        <v>119974280</v>
      </c>
      <c r="G14" s="42">
        <f>G12+G13</f>
        <v>128098000</v>
      </c>
      <c r="H14" s="42">
        <f>H12+H13</f>
        <v>160497000</v>
      </c>
      <c r="I14" s="42">
        <f>I12+I13</f>
        <v>178038000</v>
      </c>
      <c r="J14" s="3"/>
      <c r="K14" s="1"/>
      <c r="L14" s="1"/>
      <c r="M14" s="1"/>
      <c r="N14" s="1"/>
    </row>
    <row r="15" spans="2:14" ht="18.75" customHeight="1" x14ac:dyDescent="0.3">
      <c r="B15" s="43" t="s">
        <v>6</v>
      </c>
      <c r="C15" s="30"/>
      <c r="D15" s="30"/>
      <c r="E15" s="30"/>
      <c r="F15" s="30"/>
      <c r="G15" s="30"/>
      <c r="H15" s="30"/>
      <c r="I15" s="30"/>
      <c r="J15" s="1"/>
      <c r="K15" s="1"/>
      <c r="L15" s="1"/>
      <c r="M15" s="1"/>
      <c r="N15" s="1"/>
    </row>
    <row r="16" spans="2:14" ht="18.75" customHeigh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18.75" customHeight="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18.75" customHeight="1" x14ac:dyDescent="0.3">
      <c r="B18" s="72"/>
      <c r="C18" s="72"/>
      <c r="D18" s="72"/>
      <c r="E18" s="73" t="s">
        <v>7</v>
      </c>
      <c r="F18" s="74"/>
      <c r="G18" s="74"/>
      <c r="H18" s="74"/>
      <c r="I18" s="74"/>
      <c r="J18" s="74"/>
      <c r="K18" s="74"/>
      <c r="L18" s="74"/>
      <c r="M18" s="74"/>
      <c r="N18" s="74"/>
    </row>
    <row r="19" spans="2:14" ht="18.75" customHeight="1" x14ac:dyDescent="0.3">
      <c r="B19" s="72"/>
      <c r="C19" s="72"/>
      <c r="D19" s="72"/>
      <c r="E19" s="16">
        <v>2020</v>
      </c>
      <c r="F19" s="16" t="s">
        <v>8</v>
      </c>
      <c r="G19" s="16">
        <v>2021</v>
      </c>
      <c r="H19" s="16" t="s">
        <v>8</v>
      </c>
      <c r="I19" s="16">
        <v>2022</v>
      </c>
      <c r="J19" s="16" t="s">
        <v>8</v>
      </c>
      <c r="K19" s="16">
        <v>2023</v>
      </c>
      <c r="L19" s="16" t="s">
        <v>8</v>
      </c>
      <c r="M19" s="16">
        <v>2024</v>
      </c>
      <c r="N19" s="16" t="s">
        <v>8</v>
      </c>
    </row>
    <row r="20" spans="2:14" ht="18.75" customHeight="1" x14ac:dyDescent="0.3">
      <c r="B20" s="75" t="s">
        <v>3</v>
      </c>
      <c r="C20" s="75"/>
      <c r="D20" s="75"/>
      <c r="E20" s="17">
        <v>76122459</v>
      </c>
      <c r="F20" s="24">
        <f>(E20/E22)*100</f>
        <v>65.959675782099907</v>
      </c>
      <c r="G20" s="18">
        <v>82830965</v>
      </c>
      <c r="H20" s="24">
        <f>(G20/G22)*100</f>
        <v>69.040601869000582</v>
      </c>
      <c r="I20" s="19">
        <v>78902000</v>
      </c>
      <c r="J20" s="24">
        <f>(I20/I22)*100</f>
        <v>61.595028806070353</v>
      </c>
      <c r="K20" s="20">
        <v>104699000</v>
      </c>
      <c r="L20" s="24">
        <f>(K20/K22)*100</f>
        <v>65.234241138463645</v>
      </c>
      <c r="M20" s="19">
        <v>127454000</v>
      </c>
      <c r="N20" s="24">
        <f>(M20/M22)*100</f>
        <v>71.588087936283259</v>
      </c>
    </row>
    <row r="21" spans="2:14" ht="18.75" customHeight="1" x14ac:dyDescent="0.3">
      <c r="B21" s="57" t="s">
        <v>4</v>
      </c>
      <c r="C21" s="57"/>
      <c r="D21" s="58"/>
      <c r="E21" s="18">
        <v>39285111</v>
      </c>
      <c r="F21" s="25">
        <f>(E21/E22)*100</f>
        <v>34.040324217900093</v>
      </c>
      <c r="G21" s="18">
        <v>37143315</v>
      </c>
      <c r="H21" s="25">
        <f>(G21/G22)*100</f>
        <v>30.959398130999411</v>
      </c>
      <c r="I21" s="17">
        <v>49196000</v>
      </c>
      <c r="J21" s="25">
        <f>(I21/I22)*100</f>
        <v>38.404971193929647</v>
      </c>
      <c r="K21" s="19">
        <v>55798000</v>
      </c>
      <c r="L21" s="25">
        <f>(K21/K22)*100</f>
        <v>34.765758861536348</v>
      </c>
      <c r="M21" s="20">
        <v>50584000</v>
      </c>
      <c r="N21" s="25">
        <f>(M21/M22)*100</f>
        <v>28.411912063716731</v>
      </c>
    </row>
    <row r="22" spans="2:14" ht="18.75" customHeight="1" x14ac:dyDescent="0.3">
      <c r="B22" s="59" t="s">
        <v>5</v>
      </c>
      <c r="C22" s="59"/>
      <c r="D22" s="60"/>
      <c r="E22" s="21">
        <f>E20+E21</f>
        <v>115407570</v>
      </c>
      <c r="F22" s="26">
        <v>100</v>
      </c>
      <c r="G22" s="22">
        <f>G20+G21</f>
        <v>119974280</v>
      </c>
      <c r="H22" s="26">
        <f>100</f>
        <v>100</v>
      </c>
      <c r="I22" s="23">
        <f>I20+I21</f>
        <v>128098000</v>
      </c>
      <c r="J22" s="26">
        <f>100</f>
        <v>100</v>
      </c>
      <c r="K22" s="23">
        <f>K20+K21</f>
        <v>160497000</v>
      </c>
      <c r="L22" s="27">
        <f>100</f>
        <v>100</v>
      </c>
      <c r="M22" s="23">
        <f>M20+M21</f>
        <v>178038000</v>
      </c>
      <c r="N22" s="27">
        <f>100</f>
        <v>100</v>
      </c>
    </row>
    <row r="44" spans="10:10" ht="16.8" x14ac:dyDescent="0.35">
      <c r="J44" s="28"/>
    </row>
    <row r="53" spans="2:16" ht="18.75" customHeight="1" x14ac:dyDescent="0.3">
      <c r="B53" s="67" t="s">
        <v>11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9"/>
    </row>
    <row r="54" spans="2:16" ht="18.75" customHeight="1" x14ac:dyDescent="0.3">
      <c r="B54" s="29" t="s">
        <v>10</v>
      </c>
      <c r="C54" s="30"/>
      <c r="D54" s="30"/>
      <c r="E54" s="30"/>
      <c r="F54" s="30"/>
      <c r="G54" s="30"/>
      <c r="H54" s="30"/>
      <c r="I54" s="30"/>
      <c r="J54" s="1"/>
      <c r="K54" s="1"/>
      <c r="L54" s="1"/>
      <c r="M54" s="1"/>
      <c r="N54" s="1"/>
    </row>
    <row r="55" spans="2:16" ht="18.75" customHeight="1" x14ac:dyDescent="0.3">
      <c r="B55" s="54" t="s">
        <v>1</v>
      </c>
      <c r="C55" s="54"/>
      <c r="D55" s="54"/>
      <c r="E55" s="61" t="s">
        <v>2</v>
      </c>
      <c r="F55" s="61"/>
      <c r="G55" s="62"/>
      <c r="H55" s="62"/>
      <c r="I55" s="63"/>
      <c r="J55" s="2"/>
      <c r="K55" s="1"/>
      <c r="L55" s="1"/>
      <c r="M55" s="1"/>
      <c r="N55" s="1"/>
    </row>
    <row r="56" spans="2:16" ht="18.75" customHeight="1" x14ac:dyDescent="0.3">
      <c r="B56" s="55"/>
      <c r="C56" s="55"/>
      <c r="D56" s="55"/>
      <c r="E56" s="44">
        <v>2020</v>
      </c>
      <c r="F56" s="45">
        <v>2021</v>
      </c>
      <c r="G56" s="33">
        <v>2022</v>
      </c>
      <c r="H56" s="34">
        <v>2023</v>
      </c>
      <c r="I56" s="35">
        <v>2024</v>
      </c>
      <c r="J56" s="2"/>
      <c r="K56" s="1"/>
      <c r="L56" s="1"/>
      <c r="M56" s="1"/>
      <c r="N56" s="1"/>
    </row>
    <row r="57" spans="2:16" ht="18.75" customHeight="1" x14ac:dyDescent="0.3">
      <c r="B57" s="78" t="s">
        <v>12</v>
      </c>
      <c r="C57" s="78"/>
      <c r="D57" s="78"/>
      <c r="E57" s="36">
        <v>65664950</v>
      </c>
      <c r="F57" s="36">
        <v>72075030</v>
      </c>
      <c r="G57" s="36">
        <v>74776634</v>
      </c>
      <c r="H57" s="36">
        <v>82970053</v>
      </c>
      <c r="I57" s="36">
        <v>103347718</v>
      </c>
      <c r="J57" s="3"/>
      <c r="K57" s="1"/>
      <c r="L57" s="1"/>
      <c r="M57" s="1"/>
      <c r="N57" s="1"/>
    </row>
    <row r="58" spans="2:16" ht="18.75" customHeight="1" x14ac:dyDescent="0.3">
      <c r="B58" s="78" t="s">
        <v>13</v>
      </c>
      <c r="C58" s="78"/>
      <c r="D58" s="78"/>
      <c r="E58" s="36">
        <v>49742620</v>
      </c>
      <c r="F58" s="36">
        <v>47899250</v>
      </c>
      <c r="G58" s="36">
        <v>53321210</v>
      </c>
      <c r="H58" s="36">
        <v>77526884</v>
      </c>
      <c r="I58" s="36">
        <v>74689969</v>
      </c>
      <c r="J58" s="3"/>
      <c r="K58" s="1"/>
      <c r="L58" s="1"/>
      <c r="M58" s="1"/>
      <c r="N58" s="1"/>
    </row>
    <row r="59" spans="2:16" ht="18.75" customHeight="1" x14ac:dyDescent="0.3">
      <c r="B59" s="79" t="s">
        <v>14</v>
      </c>
      <c r="C59" s="79"/>
      <c r="D59" s="80"/>
      <c r="E59" s="41">
        <f>E58+E57</f>
        <v>115407570</v>
      </c>
      <c r="F59" s="41">
        <f>F58+F57</f>
        <v>119974280</v>
      </c>
      <c r="G59" s="41">
        <f>G58+G57</f>
        <v>128097844</v>
      </c>
      <c r="H59" s="41">
        <f>H58+H57</f>
        <v>160496937</v>
      </c>
      <c r="I59" s="41">
        <f>I58+I57</f>
        <v>178037687</v>
      </c>
      <c r="J59" s="3"/>
      <c r="K59" s="1"/>
      <c r="L59" s="1"/>
      <c r="M59" s="1"/>
      <c r="N59" s="1"/>
    </row>
    <row r="60" spans="2:16" ht="18.75" customHeight="1" x14ac:dyDescent="0.3">
      <c r="B60" s="43" t="s">
        <v>6</v>
      </c>
      <c r="C60" s="30"/>
      <c r="D60" s="30"/>
      <c r="E60" s="30"/>
      <c r="F60" s="30"/>
      <c r="G60" s="30"/>
      <c r="H60" s="30"/>
      <c r="I60" s="30"/>
      <c r="J60" s="1"/>
      <c r="K60" s="1"/>
      <c r="L60" s="1"/>
      <c r="M60" s="1"/>
      <c r="N60" s="1"/>
    </row>
    <row r="61" spans="2:16" ht="18.75" customHeight="1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2:16" ht="18.75" customHeight="1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2:16" ht="18.75" customHeight="1" x14ac:dyDescent="0.3">
      <c r="B63" s="72"/>
      <c r="C63" s="72"/>
      <c r="D63" s="72"/>
      <c r="E63" s="81" t="s">
        <v>7</v>
      </c>
      <c r="F63" s="54"/>
      <c r="G63" s="54"/>
      <c r="H63" s="54"/>
      <c r="I63" s="54"/>
      <c r="J63" s="54"/>
      <c r="K63" s="54"/>
      <c r="L63" s="54"/>
      <c r="M63" s="54"/>
      <c r="N63" s="54"/>
    </row>
    <row r="64" spans="2:16" ht="18.75" customHeight="1" x14ac:dyDescent="0.3">
      <c r="B64" s="72"/>
      <c r="C64" s="72"/>
      <c r="D64" s="72"/>
      <c r="E64" s="31">
        <v>2020</v>
      </c>
      <c r="F64" s="31" t="s">
        <v>8</v>
      </c>
      <c r="G64" s="31">
        <v>2021</v>
      </c>
      <c r="H64" s="31" t="s">
        <v>8</v>
      </c>
      <c r="I64" s="31">
        <v>2022</v>
      </c>
      <c r="J64" s="31" t="s">
        <v>8</v>
      </c>
      <c r="K64" s="31">
        <v>2023</v>
      </c>
      <c r="L64" s="31" t="s">
        <v>8</v>
      </c>
      <c r="M64" s="31">
        <v>2024</v>
      </c>
      <c r="N64" s="31" t="s">
        <v>8</v>
      </c>
    </row>
    <row r="65" spans="2:14" ht="18.75" customHeight="1" x14ac:dyDescent="0.3">
      <c r="B65" s="82" t="s">
        <v>12</v>
      </c>
      <c r="C65" s="82"/>
      <c r="D65" s="83"/>
      <c r="E65" s="36">
        <v>65664950</v>
      </c>
      <c r="F65" s="46">
        <f>(E65/E67)*100</f>
        <v>56.898303984738604</v>
      </c>
      <c r="G65" s="36">
        <v>72075030</v>
      </c>
      <c r="H65" s="46">
        <f>(G65/G67)*100</f>
        <v>60.075401160982167</v>
      </c>
      <c r="I65" s="36">
        <v>74776634</v>
      </c>
      <c r="J65" s="46">
        <f>(I65/I67)*100</f>
        <v>58.374623385542691</v>
      </c>
      <c r="K65" s="36">
        <v>82970053</v>
      </c>
      <c r="L65" s="46">
        <f>(K65/K67)*100</f>
        <v>51.695723638638654</v>
      </c>
      <c r="M65" s="36">
        <v>103347718</v>
      </c>
      <c r="N65" s="46">
        <f>(M65/M67)*100</f>
        <v>58.048225486101714</v>
      </c>
    </row>
    <row r="66" spans="2:14" ht="18.75" customHeight="1" x14ac:dyDescent="0.3">
      <c r="B66" s="82" t="s">
        <v>13</v>
      </c>
      <c r="C66" s="82"/>
      <c r="D66" s="83"/>
      <c r="E66" s="36">
        <v>49742620</v>
      </c>
      <c r="F66" s="46">
        <f>(E66/E67)*100</f>
        <v>43.101696015261396</v>
      </c>
      <c r="G66" s="36">
        <v>47899250</v>
      </c>
      <c r="H66" s="46">
        <f>(G66/G67)*100</f>
        <v>39.924598839017825</v>
      </c>
      <c r="I66" s="36">
        <v>53321210</v>
      </c>
      <c r="J66" s="46">
        <f>(I66/I67)*100</f>
        <v>41.625376614457302</v>
      </c>
      <c r="K66" s="36">
        <v>77526884</v>
      </c>
      <c r="L66" s="46">
        <f>(K66/K67)*100</f>
        <v>48.304276361361339</v>
      </c>
      <c r="M66" s="36">
        <v>74689969</v>
      </c>
      <c r="N66" s="46">
        <f>(M66/M67)*100</f>
        <v>41.951774513898279</v>
      </c>
    </row>
    <row r="67" spans="2:14" ht="18.75" customHeight="1" x14ac:dyDescent="0.3">
      <c r="B67" s="76" t="s">
        <v>14</v>
      </c>
      <c r="C67" s="76"/>
      <c r="D67" s="77"/>
      <c r="E67" s="41">
        <f>E66+E65</f>
        <v>115407570</v>
      </c>
      <c r="F67" s="47">
        <v>100</v>
      </c>
      <c r="G67" s="41">
        <f>G66+G65</f>
        <v>119974280</v>
      </c>
      <c r="H67" s="48">
        <v>100</v>
      </c>
      <c r="I67" s="41">
        <f>I66+I65</f>
        <v>128097844</v>
      </c>
      <c r="J67" s="48">
        <v>100</v>
      </c>
      <c r="K67" s="41">
        <f>K66+K65</f>
        <v>160496937</v>
      </c>
      <c r="L67" s="49">
        <v>100</v>
      </c>
      <c r="M67" s="41">
        <f>M66+M65</f>
        <v>178037687</v>
      </c>
      <c r="N67" s="49">
        <v>100</v>
      </c>
    </row>
  </sheetData>
  <mergeCells count="28">
    <mergeCell ref="B67:D67"/>
    <mergeCell ref="B55:D55"/>
    <mergeCell ref="E55:I55"/>
    <mergeCell ref="B56:D56"/>
    <mergeCell ref="B57:D57"/>
    <mergeCell ref="B58:D58"/>
    <mergeCell ref="B59:D59"/>
    <mergeCell ref="B63:D63"/>
    <mergeCell ref="E63:N63"/>
    <mergeCell ref="B64:D64"/>
    <mergeCell ref="B65:D65"/>
    <mergeCell ref="B66:D66"/>
    <mergeCell ref="B21:D21"/>
    <mergeCell ref="B22:D22"/>
    <mergeCell ref="E10:I10"/>
    <mergeCell ref="B5:N5"/>
    <mergeCell ref="B53:P53"/>
    <mergeCell ref="B13:D13"/>
    <mergeCell ref="B14:D14"/>
    <mergeCell ref="B18:D18"/>
    <mergeCell ref="E18:N18"/>
    <mergeCell ref="B19:D19"/>
    <mergeCell ref="B20:D20"/>
    <mergeCell ref="B2:N2"/>
    <mergeCell ref="B8:N8"/>
    <mergeCell ref="B10:D10"/>
    <mergeCell ref="B11:D11"/>
    <mergeCell ref="B12:D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Κάθετη Ανάλυση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Παναγιωτης Κωστ.</dc:creator>
  <cp:lastModifiedBy>Παναγιωτης Κωστ.</cp:lastModifiedBy>
  <dcterms:created xsi:type="dcterms:W3CDTF">2025-10-19T11:47:55Z</dcterms:created>
  <dcterms:modified xsi:type="dcterms:W3CDTF">2026-08-11T08:21:16Z</dcterms:modified>
</cp:coreProperties>
</file>