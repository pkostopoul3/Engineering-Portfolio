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Financial_Management/"/>
    </mc:Choice>
  </mc:AlternateContent>
  <xr:revisionPtr revIDLastSave="0" documentId="8_{BEB0850D-8329-4ADF-8208-F1DE1A912E40}" xr6:coauthVersionLast="47" xr6:coauthVersionMax="47" xr10:uidLastSave="{00000000-0000-0000-0000-000000000000}"/>
  <bookViews>
    <workbookView xWindow="-108" yWindow="-108" windowWidth="23256" windowHeight="12456" xr2:uid="{ACB44330-04E9-4B1F-B00A-952C62B38D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0" i="1" l="1"/>
  <c r="C120" i="1"/>
  <c r="E120" i="1"/>
  <c r="F120" i="1"/>
  <c r="G120" i="1"/>
  <c r="C119" i="1"/>
  <c r="C117" i="1"/>
  <c r="D117" i="1"/>
  <c r="E117" i="1"/>
  <c r="F117" i="1"/>
  <c r="G117" i="1"/>
  <c r="C118" i="1"/>
  <c r="D118" i="1"/>
  <c r="E118" i="1"/>
  <c r="F118" i="1"/>
  <c r="G118" i="1"/>
  <c r="D119" i="1"/>
  <c r="E119" i="1"/>
  <c r="F119" i="1"/>
  <c r="G119" i="1"/>
  <c r="G107" i="1"/>
  <c r="F107" i="1"/>
  <c r="E107" i="1"/>
  <c r="D107" i="1"/>
  <c r="C107" i="1"/>
  <c r="Q62" i="1"/>
  <c r="P62" i="1"/>
  <c r="N62" i="1"/>
  <c r="K62" i="1"/>
  <c r="G60" i="1"/>
  <c r="F60" i="1"/>
  <c r="E60" i="1"/>
  <c r="G61" i="1"/>
  <c r="F61" i="1"/>
  <c r="E61" i="1"/>
  <c r="D61" i="1"/>
  <c r="G11" i="1"/>
  <c r="F11" i="1"/>
  <c r="E11" i="1"/>
  <c r="D11" i="1"/>
  <c r="C61" i="1"/>
  <c r="C60" i="1"/>
  <c r="C11" i="1"/>
  <c r="D60" i="1"/>
  <c r="O62" i="1"/>
  <c r="O58" i="1"/>
  <c r="P58" i="1"/>
  <c r="Q58" i="1"/>
  <c r="N58" i="1"/>
  <c r="O57" i="1"/>
  <c r="P57" i="1"/>
  <c r="Q57" i="1"/>
  <c r="N57" i="1"/>
  <c r="O56" i="1"/>
  <c r="P56" i="1"/>
  <c r="Q56" i="1"/>
  <c r="N56" i="1"/>
  <c r="O55" i="1"/>
  <c r="P55" i="1"/>
  <c r="Q55" i="1"/>
  <c r="N55" i="1"/>
  <c r="I56" i="1"/>
  <c r="I55" i="1"/>
  <c r="J55" i="1"/>
  <c r="K55" i="1"/>
  <c r="L55" i="1"/>
  <c r="J56" i="1"/>
  <c r="K56" i="1"/>
  <c r="L56" i="1"/>
  <c r="J57" i="1"/>
  <c r="K57" i="1"/>
  <c r="L57" i="1"/>
  <c r="J58" i="1"/>
  <c r="K58" i="1"/>
  <c r="L58" i="1"/>
  <c r="J62" i="1"/>
  <c r="L62" i="1"/>
  <c r="I57" i="1"/>
  <c r="I58" i="1"/>
  <c r="I62" i="1"/>
  <c r="G6" i="1"/>
  <c r="F6" i="1"/>
  <c r="E6" i="1"/>
  <c r="D6" i="1"/>
  <c r="P60" i="1" l="1"/>
  <c r="N60" i="1"/>
  <c r="O60" i="1"/>
  <c r="Q60" i="1"/>
  <c r="I60" i="1"/>
  <c r="J60" i="1"/>
  <c r="K60" i="1"/>
  <c r="L60" i="1"/>
  <c r="C6" i="1"/>
  <c r="L61" i="1" l="1"/>
  <c r="Q61" i="1"/>
  <c r="K61" i="1"/>
  <c r="P61" i="1"/>
  <c r="J61" i="1"/>
  <c r="O61" i="1"/>
  <c r="I61" i="1"/>
  <c r="N61" i="1"/>
</calcChain>
</file>

<file path=xl/sharedStrings.xml><?xml version="1.0" encoding="utf-8"?>
<sst xmlns="http://schemas.openxmlformats.org/spreadsheetml/2006/main" count="70" uniqueCount="29">
  <si>
    <t>1. Διαχρονική εξέλιξη μεγεθών σε γραφήματα</t>
  </si>
  <si>
    <t>Κύκλος εργασιών (πωλήσεις)</t>
  </si>
  <si>
    <t>Κόστος πωλήσεων</t>
  </si>
  <si>
    <t xml:space="preserve"> Mικτό αποτέλεσμα</t>
  </si>
  <si>
    <t>Έξοδα διαθέσεως</t>
  </si>
  <si>
    <t>Έξοδα διοικήσεως</t>
  </si>
  <si>
    <t xml:space="preserve"> Σύνολο εξόδων</t>
  </si>
  <si>
    <t>Καθαρό αποτέλεσμα (κέρδη) χρήσης</t>
  </si>
  <si>
    <t>3. Οριζόντια ανάλυση με κινητό έτος βάσης</t>
  </si>
  <si>
    <t> </t>
  </si>
  <si>
    <t xml:space="preserve">Ποσοστιαία ετήσια μεταβολή </t>
  </si>
  <si>
    <t>Οριζόντια ανάλυση με το 2020</t>
  </si>
  <si>
    <t>2020/2021</t>
  </si>
  <si>
    <t>2021/2022</t>
  </si>
  <si>
    <t>2022/2023</t>
  </si>
  <si>
    <t>2023/2024</t>
  </si>
  <si>
    <t>Έξοδα διοίκησης</t>
  </si>
  <si>
    <t>Έξοδα λειτουργίας διαθέσης</t>
  </si>
  <si>
    <t>Έξοδα R&amp;D</t>
  </si>
  <si>
    <t>Σύνολο εξόδων</t>
  </si>
  <si>
    <t>Μικτό αποτέλεσμα χρήσης</t>
  </si>
  <si>
    <t>6. Βαρύτητα εξόδων και κόστους πωληθέντων (κάθετη ανάλυση)</t>
  </si>
  <si>
    <t>Μικτά αποτελέσματα (κέρδη) εκμετάλλευσης</t>
  </si>
  <si>
    <r>
      <t xml:space="preserve">βαρύτητα των </t>
    </r>
    <r>
      <rPr>
        <b/>
        <sz val="11"/>
        <rFont val="Times New Roman"/>
        <family val="1"/>
        <charset val="161"/>
      </rPr>
      <t>συνολικών εξόδων</t>
    </r>
    <r>
      <rPr>
        <sz val="11"/>
        <rFont val="Times New Roman"/>
        <family val="1"/>
        <charset val="161"/>
      </rPr>
      <t xml:space="preserve"> στις συνολικές πωλήσεις;</t>
    </r>
  </si>
  <si>
    <r>
      <t xml:space="preserve">βαρύτητα του </t>
    </r>
    <r>
      <rPr>
        <b/>
        <sz val="11"/>
        <rFont val="Times New Roman"/>
        <family val="1"/>
      </rPr>
      <t>κόστους πωληθέντω</t>
    </r>
    <r>
      <rPr>
        <sz val="11"/>
        <rFont val="Times New Roman"/>
        <family val="1"/>
        <charset val="161"/>
      </rPr>
      <t>ν στις συνολικές πωλήσεις;</t>
    </r>
  </si>
  <si>
    <r>
      <t xml:space="preserve">βαρύτητα του </t>
    </r>
    <r>
      <rPr>
        <b/>
        <sz val="11"/>
        <rFont val="Times New Roman"/>
        <family val="1"/>
      </rPr>
      <t>μικτού κέρδους</t>
    </r>
    <r>
      <rPr>
        <sz val="11"/>
        <rFont val="Times New Roman"/>
        <family val="1"/>
        <charset val="161"/>
      </rPr>
      <t xml:space="preserve"> στις συνολικές πωλήσεις;</t>
    </r>
  </si>
  <si>
    <t>χ</t>
  </si>
  <si>
    <t>5. Δομή Εξόδων (κάθετη ανάλυση)</t>
  </si>
  <si>
    <r>
      <t xml:space="preserve">βαρύτητα του </t>
    </r>
    <r>
      <rPr>
        <b/>
        <sz val="11"/>
        <rFont val="Times New Roman"/>
        <family val="1"/>
        <charset val="161"/>
      </rPr>
      <t>καθαρού αποτελέσματος</t>
    </r>
    <r>
      <rPr>
        <sz val="11"/>
        <rFont val="Times New Roman"/>
        <family val="1"/>
        <charset val="161"/>
      </rPr>
      <t xml:space="preserve"> στις συνολικές πωλήσεις;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</si>
</sst>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[$€-2]\ * #,##0.00_);_([$€-2]\ * \(#,##0.00\);_([$€-2]\ * &quot;-&quot;??_);_(@_)"/>
  </numFmts>
  <fonts count="29" x14ac:knownFonts="1">
    <font>
      <sz val="11"/>
      <color theme="1"/>
      <name val="Times New Roman"/>
      <family val="2"/>
    </font>
    <font>
      <b/>
      <sz val="12"/>
      <color rgb="FF0000FF"/>
      <name val="Times New Roman"/>
      <family val="1"/>
      <charset val="161"/>
    </font>
    <font>
      <sz val="12"/>
      <color theme="1"/>
      <name val="Times New Roman"/>
      <family val="1"/>
      <charset val="161"/>
    </font>
    <font>
      <b/>
      <sz val="12"/>
      <color theme="1"/>
      <name val="Times New Roman"/>
      <family val="1"/>
      <charset val="161"/>
    </font>
    <font>
      <b/>
      <sz val="10"/>
      <color theme="1"/>
      <name val="Times New Roman"/>
      <family val="1"/>
      <charset val="161"/>
    </font>
    <font>
      <sz val="10"/>
      <color theme="1"/>
      <name val="Times New Roman"/>
      <family val="1"/>
      <charset val="16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rgb="FF000000"/>
      <name val="Times New Roman"/>
      <family val="1"/>
      <charset val="161"/>
    </font>
    <font>
      <sz val="11"/>
      <color rgb="FF000000"/>
      <name val="Calibri"/>
      <family val="2"/>
      <charset val="161"/>
    </font>
    <font>
      <b/>
      <sz val="12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  <charset val="16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  <charset val="16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color rgb="FF0000FF"/>
      <name val="Aptos Narrow"/>
      <family val="2"/>
      <charset val="161"/>
      <scheme val="minor"/>
    </font>
    <font>
      <sz val="12"/>
      <color theme="1"/>
      <name val="Times New Roman"/>
      <family val="1"/>
    </font>
    <font>
      <sz val="11"/>
      <name val="Times New Roman"/>
      <family val="1"/>
      <charset val="161"/>
    </font>
    <font>
      <b/>
      <sz val="11"/>
      <name val="Times New Roman"/>
      <family val="1"/>
      <charset val="161"/>
    </font>
    <font>
      <sz val="12"/>
      <name val="Times New Roman"/>
      <family val="1"/>
      <charset val="161"/>
    </font>
    <font>
      <b/>
      <sz val="11"/>
      <name val="Times New Roman"/>
      <family val="1"/>
    </font>
    <font>
      <sz val="11"/>
      <color theme="1"/>
      <name val="Times New Roman"/>
      <family val="1"/>
      <charset val="161"/>
    </font>
    <font>
      <sz val="11"/>
      <color rgb="FF0000FF"/>
      <name val="Aptos Narrow"/>
      <family val="2"/>
      <charset val="161"/>
      <scheme val="minor"/>
    </font>
    <font>
      <sz val="12"/>
      <color rgb="FF0000FF"/>
      <name val="Times New Roman"/>
      <family val="1"/>
      <charset val="161"/>
    </font>
    <font>
      <sz val="11"/>
      <color rgb="FF000000"/>
      <name val="Times New Roman"/>
      <family val="1"/>
      <charset val="16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78">
    <xf numFmtId="0" fontId="0" fillId="0" borderId="0" xfId="0"/>
    <xf numFmtId="164" fontId="0" fillId="0" borderId="0" xfId="0" applyNumberFormat="1"/>
    <xf numFmtId="164" fontId="1" fillId="2" borderId="0" xfId="0" applyNumberFormat="1" applyFont="1" applyFill="1"/>
    <xf numFmtId="164" fontId="2" fillId="2" borderId="0" xfId="0" applyNumberFormat="1" applyFont="1" applyFill="1"/>
    <xf numFmtId="164" fontId="2" fillId="0" borderId="1" xfId="0" applyNumberFormat="1" applyFont="1" applyBorder="1"/>
    <xf numFmtId="164" fontId="3" fillId="0" borderId="0" xfId="0" applyNumberFormat="1" applyFont="1"/>
    <xf numFmtId="164" fontId="2" fillId="0" borderId="0" xfId="0" applyNumberFormat="1" applyFont="1" applyAlignment="1">
      <alignment horizontal="right"/>
    </xf>
    <xf numFmtId="164" fontId="3" fillId="0" borderId="1" xfId="0" applyNumberFormat="1" applyFont="1" applyBorder="1"/>
    <xf numFmtId="0" fontId="6" fillId="0" borderId="0" xfId="0" applyFont="1"/>
    <xf numFmtId="0" fontId="3" fillId="0" borderId="1" xfId="0" applyFont="1" applyBorder="1" applyAlignment="1">
      <alignment horizontal="center"/>
    </xf>
    <xf numFmtId="0" fontId="1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0" borderId="0" xfId="0" applyFont="1"/>
    <xf numFmtId="0" fontId="9" fillId="0" borderId="0" xfId="0" applyFont="1"/>
    <xf numFmtId="0" fontId="11" fillId="0" borderId="1" xfId="0" applyFont="1" applyBorder="1"/>
    <xf numFmtId="10" fontId="14" fillId="0" borderId="0" xfId="0" applyNumberFormat="1" applyFont="1"/>
    <xf numFmtId="2" fontId="0" fillId="0" borderId="0" xfId="0" applyNumberFormat="1"/>
    <xf numFmtId="0" fontId="13" fillId="0" borderId="2" xfId="0" applyFont="1" applyBorder="1"/>
    <xf numFmtId="0" fontId="9" fillId="0" borderId="5" xfId="0" applyFont="1" applyBorder="1"/>
    <xf numFmtId="0" fontId="13" fillId="0" borderId="5" xfId="0" applyFont="1" applyBorder="1"/>
    <xf numFmtId="0" fontId="13" fillId="0" borderId="7" xfId="0" applyFont="1" applyBorder="1"/>
    <xf numFmtId="43" fontId="4" fillId="0" borderId="0" xfId="0" applyNumberFormat="1" applyFont="1"/>
    <xf numFmtId="43" fontId="0" fillId="0" borderId="0" xfId="0" applyNumberFormat="1"/>
    <xf numFmtId="43" fontId="7" fillId="0" borderId="0" xfId="0" applyNumberFormat="1" applyFont="1"/>
    <xf numFmtId="43" fontId="8" fillId="0" borderId="0" xfId="0" applyNumberFormat="1" applyFont="1"/>
    <xf numFmtId="43" fontId="5" fillId="0" borderId="0" xfId="0" applyNumberFormat="1" applyFont="1"/>
    <xf numFmtId="43" fontId="3" fillId="0" borderId="1" xfId="0" applyNumberFormat="1" applyFont="1" applyBorder="1"/>
    <xf numFmtId="43" fontId="4" fillId="0" borderId="3" xfId="0" applyNumberFormat="1" applyFont="1" applyBorder="1"/>
    <xf numFmtId="43" fontId="9" fillId="0" borderId="0" xfId="0" applyNumberFormat="1" applyFont="1"/>
    <xf numFmtId="10" fontId="16" fillId="0" borderId="3" xfId="0" applyNumberFormat="1" applyFont="1" applyBorder="1"/>
    <xf numFmtId="10" fontId="16" fillId="0" borderId="4" xfId="0" applyNumberFormat="1" applyFont="1" applyBorder="1"/>
    <xf numFmtId="10" fontId="14" fillId="0" borderId="6" xfId="0" applyNumberFormat="1" applyFont="1" applyBorder="1"/>
    <xf numFmtId="10" fontId="16" fillId="0" borderId="0" xfId="0" applyNumberFormat="1" applyFont="1"/>
    <xf numFmtId="10" fontId="16" fillId="0" borderId="6" xfId="0" applyNumberFormat="1" applyFont="1" applyBorder="1"/>
    <xf numFmtId="10" fontId="16" fillId="0" borderId="1" xfId="0" applyNumberFormat="1" applyFont="1" applyBorder="1"/>
    <xf numFmtId="10" fontId="16" fillId="0" borderId="8" xfId="0" applyNumberFormat="1" applyFont="1" applyBorder="1"/>
    <xf numFmtId="0" fontId="9" fillId="0" borderId="2" xfId="0" applyFont="1" applyBorder="1"/>
    <xf numFmtId="0" fontId="9" fillId="0" borderId="7" xfId="0" applyFont="1" applyBorder="1"/>
    <xf numFmtId="0" fontId="11" fillId="0" borderId="8" xfId="0" applyFont="1" applyBorder="1"/>
    <xf numFmtId="164" fontId="0" fillId="0" borderId="2" xfId="0" applyNumberFormat="1" applyBorder="1"/>
    <xf numFmtId="164" fontId="0" fillId="0" borderId="5" xfId="0" applyNumberFormat="1" applyBorder="1"/>
    <xf numFmtId="0" fontId="19" fillId="2" borderId="0" xfId="0" applyFont="1" applyFill="1"/>
    <xf numFmtId="0" fontId="2" fillId="0" borderId="0" xfId="0" applyFont="1"/>
    <xf numFmtId="0" fontId="2" fillId="0" borderId="1" xfId="0" applyFont="1" applyBorder="1"/>
    <xf numFmtId="0" fontId="20" fillId="0" borderId="0" xfId="0" applyFont="1"/>
    <xf numFmtId="0" fontId="20" fillId="0" borderId="0" xfId="0" applyFont="1" applyAlignment="1">
      <alignment horizontal="left"/>
    </xf>
    <xf numFmtId="0" fontId="21" fillId="0" borderId="0" xfId="0" applyFont="1"/>
    <xf numFmtId="10" fontId="23" fillId="0" borderId="0" xfId="0" applyNumberFormat="1" applyFont="1"/>
    <xf numFmtId="43" fontId="4" fillId="0" borderId="4" xfId="0" applyNumberFormat="1" applyFont="1" applyBorder="1"/>
    <xf numFmtId="43" fontId="0" fillId="0" borderId="6" xfId="0" applyNumberFormat="1" applyBorder="1"/>
    <xf numFmtId="43" fontId="9" fillId="0" borderId="6" xfId="0" applyNumberFormat="1" applyFont="1" applyBorder="1"/>
    <xf numFmtId="43" fontId="8" fillId="0" borderId="6" xfId="0" applyNumberFormat="1" applyFont="1" applyBorder="1"/>
    <xf numFmtId="43" fontId="7" fillId="0" borderId="6" xfId="0" applyNumberFormat="1" applyFont="1" applyBorder="1"/>
    <xf numFmtId="43" fontId="3" fillId="0" borderId="8" xfId="0" applyNumberFormat="1" applyFont="1" applyBorder="1"/>
    <xf numFmtId="43" fontId="25" fillId="0" borderId="0" xfId="0" applyNumberFormat="1" applyFont="1"/>
    <xf numFmtId="43" fontId="25" fillId="0" borderId="6" xfId="0" applyNumberFormat="1" applyFont="1" applyBorder="1"/>
    <xf numFmtId="43" fontId="5" fillId="0" borderId="3" xfId="0" applyNumberFormat="1" applyFont="1" applyBorder="1"/>
    <xf numFmtId="43" fontId="5" fillId="0" borderId="4" xfId="0" applyNumberFormat="1" applyFont="1" applyBorder="1"/>
    <xf numFmtId="0" fontId="26" fillId="2" borderId="0" xfId="0" applyFont="1" applyFill="1"/>
    <xf numFmtId="0" fontId="27" fillId="2" borderId="0" xfId="0" applyFont="1" applyFill="1"/>
    <xf numFmtId="0" fontId="19" fillId="0" borderId="0" xfId="0" applyFont="1"/>
    <xf numFmtId="0" fontId="26" fillId="0" borderId="0" xfId="0" applyFont="1"/>
    <xf numFmtId="0" fontId="27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3" fontId="3" fillId="0" borderId="0" xfId="0" applyNumberFormat="1" applyFont="1"/>
    <xf numFmtId="10" fontId="23" fillId="0" borderId="0" xfId="1" applyNumberFormat="1" applyFont="1"/>
    <xf numFmtId="10" fontId="2" fillId="0" borderId="0" xfId="1" applyNumberFormat="1" applyFont="1"/>
    <xf numFmtId="0" fontId="28" fillId="0" borderId="7" xfId="0" applyFont="1" applyBorder="1"/>
    <xf numFmtId="43" fontId="25" fillId="0" borderId="1" xfId="0" applyNumberFormat="1" applyFont="1" applyBorder="1"/>
    <xf numFmtId="43" fontId="25" fillId="0" borderId="8" xfId="0" applyNumberFormat="1" applyFont="1" applyBorder="1"/>
    <xf numFmtId="0" fontId="16" fillId="0" borderId="3" xfId="0" applyFont="1" applyBorder="1"/>
    <xf numFmtId="0" fontId="12" fillId="0" borderId="3" xfId="0" applyFont="1" applyBorder="1"/>
    <xf numFmtId="0" fontId="12" fillId="0" borderId="4" xfId="0" applyFont="1" applyBorder="1"/>
    <xf numFmtId="0" fontId="17" fillId="0" borderId="3" xfId="0" applyFont="1" applyBorder="1"/>
    <xf numFmtId="0" fontId="15" fillId="0" borderId="3" xfId="0" applyFont="1" applyBorder="1"/>
    <xf numFmtId="0" fontId="15" fillId="0" borderId="4" xfId="0" applyFont="1" applyBorder="1"/>
  </cellXfs>
  <cellStyles count="2">
    <cellStyle name="Κανονικό" xfId="0" builtinId="0"/>
    <cellStyle name="Ποσοστό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Κύκλος Εργασιών (πωλήσεις)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Sheet1!$C$3:$G$3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Sheet1!$C$4:$G$4</c:f>
              <c:numCache>
                <c:formatCode>_(* #,##0.00_);_(* \(#,##0.00\);_(* "-"??_);_(@_)</c:formatCode>
                <c:ptCount val="5"/>
                <c:pt idx="0">
                  <c:v>3791</c:v>
                </c:pt>
                <c:pt idx="1">
                  <c:v>3985</c:v>
                </c:pt>
                <c:pt idx="2">
                  <c:v>4475</c:v>
                </c:pt>
                <c:pt idx="3">
                  <c:v>5157</c:v>
                </c:pt>
                <c:pt idx="4">
                  <c:v>5560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A-4CAB-B004-C2DE4D7C49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98352"/>
        <c:axId val="36199792"/>
      </c:lineChart>
      <c:catAx>
        <c:axId val="3619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9792"/>
        <c:crosses val="autoZero"/>
        <c:auto val="1"/>
        <c:lblAlgn val="ctr"/>
        <c:lblOffset val="100"/>
        <c:noMultiLvlLbl val="0"/>
      </c:catAx>
      <c:valAx>
        <c:axId val="361997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Μικτό αποτέλεσμα (κέρδη) εκμετάλλευσης</a:t>
            </a:r>
          </a:p>
        </c:rich>
      </c:tx>
      <c:layout>
        <c:manualLayout>
          <c:xMode val="edge"/>
          <c:yMode val="edge"/>
          <c:x val="0.18291655353425651"/>
          <c:y val="3.47708459519483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Sheet1!$C$3:$G$3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Sheet1!$C$6:$G$6</c:f>
              <c:numCache>
                <c:formatCode>_(* #,##0.00_);_(* \(#,##0.00\);_(* "-"??_);_(@_)</c:formatCode>
                <c:ptCount val="5"/>
                <c:pt idx="0">
                  <c:v>996</c:v>
                </c:pt>
                <c:pt idx="1">
                  <c:v>1059</c:v>
                </c:pt>
                <c:pt idx="2">
                  <c:v>1162</c:v>
                </c:pt>
                <c:pt idx="3">
                  <c:v>1346</c:v>
                </c:pt>
                <c:pt idx="4">
                  <c:v>1439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7-452D-9D35-BEEBE2D287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83472"/>
        <c:axId val="36209872"/>
      </c:lineChart>
      <c:catAx>
        <c:axId val="3618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9872"/>
        <c:crosses val="autoZero"/>
        <c:auto val="1"/>
        <c:lblAlgn val="ctr"/>
        <c:lblOffset val="100"/>
        <c:noMultiLvlLbl val="0"/>
      </c:catAx>
      <c:valAx>
        <c:axId val="3620987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8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Σύνολα</a:t>
            </a:r>
            <a:r>
              <a:rPr lang="el-GR" baseline="0"/>
              <a:t> εξόδων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Sheet1!$C$3:$G$3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Sheet1!$C$15:$G$15</c:f>
              <c:numCache>
                <c:formatCode>0.00</c:formatCode>
                <c:ptCount val="5"/>
                <c:pt idx="0">
                  <c:v>856</c:v>
                </c:pt>
                <c:pt idx="1">
                  <c:v>895</c:v>
                </c:pt>
                <c:pt idx="2">
                  <c:v>1022</c:v>
                </c:pt>
                <c:pt idx="3">
                  <c:v>1108</c:v>
                </c:pt>
                <c:pt idx="4">
                  <c:v>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9-4494-9594-7C166CBCA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142192"/>
        <c:axId val="36124432"/>
      </c:lineChart>
      <c:catAx>
        <c:axId val="3614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24432"/>
        <c:crosses val="autoZero"/>
        <c:auto val="1"/>
        <c:lblAlgn val="ctr"/>
        <c:lblOffset val="100"/>
        <c:noMultiLvlLbl val="0"/>
      </c:catAx>
      <c:valAx>
        <c:axId val="3612443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4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Καθαρό αποτέλεσμα (κέρδη) χρήσης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chemeClr val="accent1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2551594746716694E-2"/>
                  <c:y val="-7.4177097821047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A3-44FC-BD8F-0047BB416D16}"/>
                </c:ext>
              </c:extLst>
            </c:dLbl>
            <c:dLbl>
              <c:idx val="1"/>
              <c:layout>
                <c:manualLayout>
                  <c:x val="-6.2539086929330884E-2"/>
                  <c:y val="-6.9541029207232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A3-44FC-BD8F-0047BB416D16}"/>
                </c:ext>
              </c:extLst>
            </c:dLbl>
            <c:dLbl>
              <c:idx val="2"/>
              <c:layout>
                <c:manualLayout>
                  <c:x val="-6.7542213883677302E-2"/>
                  <c:y val="-7.8813166434863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A3-44FC-BD8F-0047BB416D16}"/>
                </c:ext>
              </c:extLst>
            </c:dLbl>
            <c:dLbl>
              <c:idx val="3"/>
              <c:layout>
                <c:manualLayout>
                  <c:x val="-8.7554721701063168E-2"/>
                  <c:y val="-6.0268891979601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A3-44FC-BD8F-0047BB416D16}"/>
                </c:ext>
              </c:extLst>
            </c:dLbl>
            <c:dLbl>
              <c:idx val="4"/>
              <c:layout>
                <c:manualLayout>
                  <c:x val="-3.5021888680425446E-2"/>
                  <c:y val="-7.4177097821047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A3-44FC-BD8F-0047BB416D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Sheet1!$C$3:$G$3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Sheet1!$C$13:$G$13</c:f>
              <c:numCache>
                <c:formatCode>_(* #,##0.00_);_(* \(#,##0.00\);_(* "-"??_);_(@_)</c:formatCode>
                <c:ptCount val="5"/>
                <c:pt idx="0">
                  <c:v>63</c:v>
                </c:pt>
                <c:pt idx="1">
                  <c:v>61</c:v>
                </c:pt>
                <c:pt idx="2">
                  <c:v>58</c:v>
                </c:pt>
                <c:pt idx="3">
                  <c:v>96</c:v>
                </c:pt>
                <c:pt idx="4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9-45C4-8EC6-9B1F24E1F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352464"/>
        <c:axId val="2117364944"/>
      </c:lineChart>
      <c:catAx>
        <c:axId val="211735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64944"/>
        <c:crosses val="autoZero"/>
        <c:auto val="1"/>
        <c:lblAlgn val="ctr"/>
        <c:lblOffset val="100"/>
        <c:noMultiLvlLbl val="0"/>
      </c:catAx>
      <c:valAx>
        <c:axId val="211736494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5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Μικτό αποτέλεσμα χρήσης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Sheet1!$I$54:$L$54</c:f>
              <c:strCache>
                <c:ptCount val="4"/>
                <c:pt idx="0">
                  <c:v>2020/2021</c:v>
                </c:pt>
                <c:pt idx="1">
                  <c:v>2021/2022</c:v>
                </c:pt>
                <c:pt idx="2">
                  <c:v>2022/2023</c:v>
                </c:pt>
                <c:pt idx="3">
                  <c:v>2023/2024</c:v>
                </c:pt>
              </c:strCache>
            </c:strRef>
          </c:cat>
          <c:val>
            <c:numRef>
              <c:f>Sheet1!$I$61:$L$61</c:f>
              <c:numCache>
                <c:formatCode>0.00%</c:formatCode>
                <c:ptCount val="4"/>
                <c:pt idx="0">
                  <c:v>6.3253012048192767E-2</c:v>
                </c:pt>
                <c:pt idx="1">
                  <c:v>9.7261567516525024E-2</c:v>
                </c:pt>
                <c:pt idx="2">
                  <c:v>0.15834767641996558</c:v>
                </c:pt>
                <c:pt idx="3">
                  <c:v>6.9093610698365532E-2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6-4CB5-94CD-1E61C8F3C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106312"/>
        <c:axId val="1448873992"/>
      </c:lineChart>
      <c:catAx>
        <c:axId val="587106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73992"/>
        <c:crosses val="autoZero"/>
        <c:auto val="1"/>
        <c:lblAlgn val="ctr"/>
        <c:lblOffset val="100"/>
        <c:noMultiLvlLbl val="0"/>
      </c:catAx>
      <c:valAx>
        <c:axId val="144887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06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Πωλήσεις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Sheet1!$I$54:$L$54</c:f>
              <c:strCache>
                <c:ptCount val="4"/>
                <c:pt idx="0">
                  <c:v>2020/2021</c:v>
                </c:pt>
                <c:pt idx="1">
                  <c:v>2021/2022</c:v>
                </c:pt>
                <c:pt idx="2">
                  <c:v>2022/2023</c:v>
                </c:pt>
                <c:pt idx="3">
                  <c:v>2023/2024</c:v>
                </c:pt>
              </c:strCache>
            </c:strRef>
          </c:cat>
          <c:val>
            <c:numRef>
              <c:f>Sheet1!$I$55:$L$55</c:f>
              <c:numCache>
                <c:formatCode>0.00%</c:formatCode>
                <c:ptCount val="4"/>
                <c:pt idx="0">
                  <c:v>5.1173832761804275E-2</c:v>
                </c:pt>
                <c:pt idx="1">
                  <c:v>0.12296110414052698</c:v>
                </c:pt>
                <c:pt idx="2">
                  <c:v>0.1524022346368715</c:v>
                </c:pt>
                <c:pt idx="3">
                  <c:v>7.8146209036261391E-2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B-4337-958C-31B117A00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848879"/>
        <c:axId val="68849359"/>
      </c:lineChart>
      <c:catAx>
        <c:axId val="6884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9359"/>
        <c:crosses val="autoZero"/>
        <c:auto val="1"/>
        <c:lblAlgn val="ctr"/>
        <c:lblOffset val="100"/>
        <c:noMultiLvlLbl val="0"/>
      </c:catAx>
      <c:valAx>
        <c:axId val="6884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Σύνολο</a:t>
            </a:r>
            <a:r>
              <a:rPr lang="el-GR" baseline="0"/>
              <a:t> εξόδων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Sheet1!$I$54:$L$54</c:f>
              <c:strCache>
                <c:ptCount val="4"/>
                <c:pt idx="0">
                  <c:v>2020/2021</c:v>
                </c:pt>
                <c:pt idx="1">
                  <c:v>2021/2022</c:v>
                </c:pt>
                <c:pt idx="2">
                  <c:v>2022/2023</c:v>
                </c:pt>
                <c:pt idx="3">
                  <c:v>2023/2024</c:v>
                </c:pt>
              </c:strCache>
            </c:strRef>
          </c:cat>
          <c:val>
            <c:numRef>
              <c:f>Sheet1!$I$60:$L$60</c:f>
              <c:numCache>
                <c:formatCode>0.00%</c:formatCode>
                <c:ptCount val="4"/>
                <c:pt idx="0">
                  <c:v>4.55607476635514E-2</c:v>
                </c:pt>
                <c:pt idx="1">
                  <c:v>0.14189944134078211</c:v>
                </c:pt>
                <c:pt idx="2">
                  <c:v>8.4148727984344418E-2</c:v>
                </c:pt>
                <c:pt idx="3">
                  <c:v>0.10830324909747292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0-4761-913A-C0DAF7A46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40095"/>
        <c:axId val="66351135"/>
      </c:lineChart>
      <c:catAx>
        <c:axId val="6634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1135"/>
        <c:crosses val="autoZero"/>
        <c:auto val="1"/>
        <c:lblAlgn val="ctr"/>
        <c:lblOffset val="100"/>
        <c:noMultiLvlLbl val="0"/>
      </c:catAx>
      <c:valAx>
        <c:axId val="6635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Καθαρό αποτέλεσμα (κέρδη) χρήσης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2500000000000003E-3"/>
                  <c:y val="-7.63888888888890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C7-4C5A-AF97-A60E3B41254E}"/>
                </c:ext>
              </c:extLst>
            </c:dLbl>
            <c:dLbl>
              <c:idx val="1"/>
              <c:layout>
                <c:manualLayout>
                  <c:x val="2.9166666666666667E-2"/>
                  <c:y val="-8.68055555555557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C7-4C5A-AF97-A60E3B4125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Sheet1!$I$54:$L$54</c:f>
              <c:strCache>
                <c:ptCount val="4"/>
                <c:pt idx="0">
                  <c:v>2020/2021</c:v>
                </c:pt>
                <c:pt idx="1">
                  <c:v>2021/2022</c:v>
                </c:pt>
                <c:pt idx="2">
                  <c:v>2022/2023</c:v>
                </c:pt>
                <c:pt idx="3">
                  <c:v>2023/2024</c:v>
                </c:pt>
              </c:strCache>
            </c:strRef>
          </c:cat>
          <c:val>
            <c:numRef>
              <c:f>Sheet1!$I$62:$L$62</c:f>
              <c:numCache>
                <c:formatCode>0.00%</c:formatCode>
                <c:ptCount val="4"/>
                <c:pt idx="0">
                  <c:v>-3.1746031746031744E-2</c:v>
                </c:pt>
                <c:pt idx="1">
                  <c:v>-4.9180327868852458E-2</c:v>
                </c:pt>
                <c:pt idx="2">
                  <c:v>0.65517241379310343</c:v>
                </c:pt>
                <c:pt idx="3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7-4C5A-AF97-A60E3B412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3370504"/>
        <c:axId val="587113480"/>
      </c:lineChart>
      <c:catAx>
        <c:axId val="152337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13480"/>
        <c:crosses val="autoZero"/>
        <c:auto val="1"/>
        <c:lblAlgn val="ctr"/>
        <c:lblOffset val="100"/>
        <c:noMultiLvlLbl val="0"/>
      </c:catAx>
      <c:valAx>
        <c:axId val="58711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370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51456692913385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Sheet1!$B$117</c:f>
              <c:strCache>
                <c:ptCount val="1"/>
                <c:pt idx="0">
                  <c:v>βαρύτητα των συνολικών εξόδων στις συνολικές πωλήσεις;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12700">
              <a:solidFill>
                <a:sysClr val="windowText" lastClr="000000"/>
              </a:solidFill>
            </a:ln>
            <a:effectLst/>
            <a:sp3d contourW="12700">
              <a:contourClr>
                <a:sysClr val="windowText" lastClr="000000"/>
              </a:contourClr>
            </a:sp3d>
          </c:spPr>
          <c:invertIfNegative val="0"/>
          <c:dLbls>
            <c:dLbl>
              <c:idx val="0"/>
              <c:layout>
                <c:manualLayout>
                  <c:x val="1.7468843936880772E-2"/>
                  <c:y val="-0.358293075684380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4F-45D3-B498-D4336E0E0C62}"/>
                </c:ext>
              </c:extLst>
            </c:dLbl>
            <c:dLbl>
              <c:idx val="1"/>
              <c:layout>
                <c:manualLayout>
                  <c:x val="1.8530151951345063E-2"/>
                  <c:y val="-0.3341384863123993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4F-45D3-B498-D4336E0E0C62}"/>
                </c:ext>
              </c:extLst>
            </c:dLbl>
            <c:dLbl>
              <c:idx val="2"/>
              <c:layout>
                <c:manualLayout>
                  <c:x val="1.5981741689068529E-2"/>
                  <c:y val="-0.386473429951690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4F-45D3-B498-D4336E0E0C62}"/>
                </c:ext>
              </c:extLst>
            </c:dLbl>
            <c:dLbl>
              <c:idx val="3"/>
              <c:layout>
                <c:manualLayout>
                  <c:x val="1.5981741689068529E-2"/>
                  <c:y val="-0.2012882447665056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4F-45D3-B498-D4336E0E0C62}"/>
                </c:ext>
              </c:extLst>
            </c:dLbl>
            <c:dLbl>
              <c:idx val="4"/>
              <c:layout>
                <c:manualLayout>
                  <c:x val="1.1946229178979747E-2"/>
                  <c:y val="-0.289855072463768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4F-45D3-B498-D4336E0E0C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Sheet1!$C$111:$G$111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Sheet1!$C$117:$G$117</c:f>
              <c:numCache>
                <c:formatCode>0.00%</c:formatCode>
                <c:ptCount val="5"/>
                <c:pt idx="0">
                  <c:v>0.22579794249538379</c:v>
                </c:pt>
                <c:pt idx="1">
                  <c:v>0.2245922208281054</c:v>
                </c:pt>
                <c:pt idx="2">
                  <c:v>0.22837988826815642</c:v>
                </c:pt>
                <c:pt idx="3">
                  <c:v>0.21485359705254994</c:v>
                </c:pt>
                <c:pt idx="4">
                  <c:v>0.22086330935251799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F-45D3-B498-D4336E0E0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9435824"/>
        <c:axId val="619431024"/>
        <c:axId val="0"/>
      </c:bar3DChart>
      <c:catAx>
        <c:axId val="61943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9431024"/>
        <c:crosses val="autoZero"/>
        <c:auto val="1"/>
        <c:lblAlgn val="ctr"/>
        <c:lblOffset val="100"/>
        <c:noMultiLvlLbl val="0"/>
      </c:catAx>
      <c:valAx>
        <c:axId val="6194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1943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076734470691163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Sheet1!$B$118</c:f>
              <c:strCache>
                <c:ptCount val="1"/>
                <c:pt idx="0">
                  <c:v>βαρύτητα του κόστους πωληθέντων στις συνολικές πωλήσεις;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  <a:sp3d>
              <a:contourClr>
                <a:sysClr val="windowText" lastClr="000000"/>
              </a:contourClr>
            </a:sp3d>
          </c:spPr>
          <c:invertIfNegative val="0"/>
          <c:dLbls>
            <c:dLbl>
              <c:idx val="0"/>
              <c:layout>
                <c:manualLayout>
                  <c:x val="1.1230907457322531E-2"/>
                  <c:y val="-0.273752012882447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FE-454B-BDC0-66450F492A50}"/>
                </c:ext>
              </c:extLst>
            </c:dLbl>
            <c:dLbl>
              <c:idx val="1"/>
              <c:layout>
                <c:manualLayout>
                  <c:x val="1.5723270440251531E-2"/>
                  <c:y val="-0.18518518518518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FE-454B-BDC0-66450F492A50}"/>
                </c:ext>
              </c:extLst>
            </c:dLbl>
            <c:dLbl>
              <c:idx val="2"/>
              <c:layout>
                <c:manualLayout>
                  <c:x val="1.3477088948787063E-2"/>
                  <c:y val="-0.354267310789049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FE-454B-BDC0-66450F492A50}"/>
                </c:ext>
              </c:extLst>
            </c:dLbl>
            <c:dLbl>
              <c:idx val="3"/>
              <c:layout>
                <c:manualLayout>
                  <c:x val="1.5723270440251656E-2"/>
                  <c:y val="-0.318035426731078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FE-454B-BDC0-66450F492A50}"/>
                </c:ext>
              </c:extLst>
            </c:dLbl>
            <c:dLbl>
              <c:idx val="4"/>
              <c:layout>
                <c:manualLayout>
                  <c:x val="1.7969451931716084E-2"/>
                  <c:y val="-0.386473429951690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FE-454B-BDC0-66450F492A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Sheet1!$C$111:$G$111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Sheet1!$C$118:$G$118</c:f>
              <c:numCache>
                <c:formatCode>0.00%</c:formatCode>
                <c:ptCount val="5"/>
                <c:pt idx="0">
                  <c:v>0.73727248747032448</c:v>
                </c:pt>
                <c:pt idx="1">
                  <c:v>0.7342534504391468</c:v>
                </c:pt>
                <c:pt idx="2">
                  <c:v>0.74033519553072624</c:v>
                </c:pt>
                <c:pt idx="3">
                  <c:v>0.73899554004266044</c:v>
                </c:pt>
                <c:pt idx="4">
                  <c:v>0.74118705035971222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E-454B-BDC0-66450F492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9733648"/>
        <c:axId val="559734128"/>
        <c:axId val="0"/>
      </c:bar3DChart>
      <c:catAx>
        <c:axId val="55973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59734128"/>
        <c:crosses val="autoZero"/>
        <c:auto val="1"/>
        <c:lblAlgn val="ctr"/>
        <c:lblOffset val="100"/>
        <c:noMultiLvlLbl val="0"/>
      </c:catAx>
      <c:valAx>
        <c:axId val="5597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59733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Sheet1!$B$117</c:f>
              <c:strCache>
                <c:ptCount val="1"/>
                <c:pt idx="0">
                  <c:v>βαρύτητα των συνολικών εξόδων στις συνολικές πωλήσεις;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Sheet1!$C$117:$G$117</c:f>
              <c:numCache>
                <c:formatCode>0.00%</c:formatCode>
                <c:ptCount val="5"/>
                <c:pt idx="0">
                  <c:v>0.22579794249538379</c:v>
                </c:pt>
                <c:pt idx="1">
                  <c:v>0.2245922208281054</c:v>
                </c:pt>
                <c:pt idx="2">
                  <c:v>0.22837988826815642</c:v>
                </c:pt>
                <c:pt idx="3">
                  <c:v>0.21485359705254994</c:v>
                </c:pt>
                <c:pt idx="4">
                  <c:v>0.22086330935251799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E-43FD-A59F-7EA6AD9A2C29}"/>
            </c:ext>
          </c:extLst>
        </c:ser>
        <c:ser>
          <c:idx val="1"/>
          <c:order val="1"/>
          <c:tx>
            <c:strRef>
              <c:f>Sheet1!$B$118</c:f>
              <c:strCache>
                <c:ptCount val="1"/>
                <c:pt idx="0">
                  <c:v>βαρύτητα του κόστους πωληθέντων στις συνολικές πωλήσεις;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Sheet1!$C$118:$G$118</c:f>
              <c:numCache>
                <c:formatCode>0.00%</c:formatCode>
                <c:ptCount val="5"/>
                <c:pt idx="0">
                  <c:v>0.73727248747032448</c:v>
                </c:pt>
                <c:pt idx="1">
                  <c:v>0.7342534504391468</c:v>
                </c:pt>
                <c:pt idx="2">
                  <c:v>0.74033519553072624</c:v>
                </c:pt>
                <c:pt idx="3">
                  <c:v>0.73899554004266044</c:v>
                </c:pt>
                <c:pt idx="4">
                  <c:v>0.74118705035971222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E-43FD-A59F-7EA6AD9A2C29}"/>
            </c:ext>
          </c:extLst>
        </c:ser>
        <c:ser>
          <c:idx val="2"/>
          <c:order val="2"/>
          <c:tx>
            <c:strRef>
              <c:f>Sheet1!$B$119</c:f>
              <c:strCache>
                <c:ptCount val="1"/>
                <c:pt idx="0">
                  <c:v>βαρύτητα του μικτού κέρδους στις συνολικές πωλήσεις;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Sheet1!$C$119:$G$119</c:f>
              <c:numCache>
                <c:formatCode>0.00%</c:formatCode>
                <c:ptCount val="5"/>
                <c:pt idx="0">
                  <c:v>0.26272751252967552</c:v>
                </c:pt>
                <c:pt idx="1">
                  <c:v>0.2657465495608532</c:v>
                </c:pt>
                <c:pt idx="2">
                  <c:v>0.25966480446927376</c:v>
                </c:pt>
                <c:pt idx="3">
                  <c:v>0.26100445995733956</c:v>
                </c:pt>
                <c:pt idx="4">
                  <c:v>0.25881294964028778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E-43FD-A59F-7EA6AD9A2C29}"/>
            </c:ext>
          </c:extLst>
        </c:ser>
        <c:ser>
          <c:idx val="3"/>
          <c:order val="3"/>
          <c:tx>
            <c:strRef>
              <c:f>Sheet1!$B$120</c:f>
              <c:strCache>
                <c:ptCount val="1"/>
                <c:pt idx="0">
                  <c:v>βαρύτητα του καθαρού αποτελέσματος στις συνολικές πωλήσεις;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Sheet1!$C$120:$G$120</c:f>
              <c:numCache>
                <c:formatCode>0.00%</c:formatCode>
                <c:ptCount val="5"/>
                <c:pt idx="0">
                  <c:v>1.6618306515431284E-2</c:v>
                </c:pt>
                <c:pt idx="1">
                  <c:v>1.5307402760351318E-2</c:v>
                </c:pt>
                <c:pt idx="2">
                  <c:v>1.2960893854748603E-2</c:v>
                </c:pt>
                <c:pt idx="3">
                  <c:v>1.8615474112856311E-2</c:v>
                </c:pt>
                <c:pt idx="4">
                  <c:v>1.9424460431654675E-2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2E-43FD-A59F-7EA6AD9A2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1536079"/>
        <c:axId val="1901537039"/>
        <c:axId val="0"/>
      </c:bar3DChart>
      <c:catAx>
        <c:axId val="1901536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37039"/>
        <c:crosses val="autoZero"/>
        <c:auto val="1"/>
        <c:lblAlgn val="ctr"/>
        <c:lblOffset val="100"/>
        <c:noMultiLvlLbl val="0"/>
      </c:catAx>
      <c:valAx>
        <c:axId val="190153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53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Sheet1!$B$119</c:f>
              <c:strCache>
                <c:ptCount val="1"/>
                <c:pt idx="0">
                  <c:v>βαρύτητα του μικτού κέρδους στις συνολικές πωλήσεις;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  <a:sp3d>
              <a:contourClr>
                <a:sysClr val="windowText" lastClr="000000"/>
              </a:contourClr>
            </a:sp3d>
          </c:spPr>
          <c:invertIfNegative val="0"/>
          <c:dLbls>
            <c:dLbl>
              <c:idx val="0"/>
              <c:layout>
                <c:manualLayout>
                  <c:x val="1.6064257028112448E-2"/>
                  <c:y val="-0.314240254574383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20-45CA-A2CD-0F0E2C2BCEBD}"/>
                </c:ext>
              </c:extLst>
            </c:dLbl>
            <c:dLbl>
              <c:idx val="1"/>
              <c:layout>
                <c:manualLayout>
                  <c:x val="2.0080321285140489E-2"/>
                  <c:y val="-0.397772474144789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520-45CA-A2CD-0F0E2C2BCEBD}"/>
                </c:ext>
              </c:extLst>
            </c:dLbl>
            <c:dLbl>
              <c:idx val="2"/>
              <c:layout>
                <c:manualLayout>
                  <c:x val="1.6064257028112375E-2"/>
                  <c:y val="-0.22673031026252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20-45CA-A2CD-0F0E2C2BCEBD}"/>
                </c:ext>
              </c:extLst>
            </c:dLbl>
            <c:dLbl>
              <c:idx val="3"/>
              <c:layout>
                <c:manualLayout>
                  <c:x val="1.405622489959832E-2"/>
                  <c:y val="-0.266507557677008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20-45CA-A2CD-0F0E2C2BCEBD}"/>
                </c:ext>
              </c:extLst>
            </c:dLbl>
            <c:dLbl>
              <c:idx val="4"/>
              <c:layout>
                <c:manualLayout>
                  <c:x val="1.2048192771084338E-2"/>
                  <c:y val="-0.206841686555290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20-45CA-A2CD-0F0E2C2BCE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Sheet1!$C$111:$G$111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Sheet1!$C$119:$G$119</c:f>
              <c:numCache>
                <c:formatCode>0.00%</c:formatCode>
                <c:ptCount val="5"/>
                <c:pt idx="0">
                  <c:v>0.26272751252967552</c:v>
                </c:pt>
                <c:pt idx="1">
                  <c:v>0.2657465495608532</c:v>
                </c:pt>
                <c:pt idx="2">
                  <c:v>0.25966480446927376</c:v>
                </c:pt>
                <c:pt idx="3">
                  <c:v>0.26100445995733956</c:v>
                </c:pt>
                <c:pt idx="4">
                  <c:v>0.25881294964028778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0-45CA-A2CD-0F0E2C2BC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1224832"/>
        <c:axId val="861213792"/>
        <c:axId val="0"/>
      </c:bar3DChart>
      <c:catAx>
        <c:axId val="86122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61213792"/>
        <c:crosses val="autoZero"/>
        <c:auto val="1"/>
        <c:lblAlgn val="ctr"/>
        <c:lblOffset val="100"/>
        <c:noMultiLvlLbl val="0"/>
      </c:catAx>
      <c:valAx>
        <c:axId val="86121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6122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Sheet1!$B$120</c:f>
              <c:strCache>
                <c:ptCount val="1"/>
                <c:pt idx="0">
                  <c:v>βαρύτητα του καθαρού αποτελέσματος στις συνολικές πωλήσεις;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ysClr val="windowText" lastClr="000000"/>
              </a:solidFill>
            </a:ln>
            <a:effectLst/>
            <a:sp3d>
              <a:contourClr>
                <a:sysClr val="windowText" lastClr="000000"/>
              </a:contourClr>
            </a:sp3d>
          </c:spPr>
          <c:invertIfNegative val="0"/>
          <c:dLbls>
            <c:dLbl>
              <c:idx val="0"/>
              <c:layout>
                <c:manualLayout>
                  <c:x val="1.7006802721088395E-2"/>
                  <c:y val="-0.356294536817102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66-4366-BD4B-1B565E591322}"/>
                </c:ext>
              </c:extLst>
            </c:dLbl>
            <c:dLbl>
              <c:idx val="1"/>
              <c:layout>
                <c:manualLayout>
                  <c:x val="1.488095238095238E-2"/>
                  <c:y val="-0.324623911322248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66-4366-BD4B-1B565E591322}"/>
                </c:ext>
              </c:extLst>
            </c:dLbl>
            <c:dLbl>
              <c:idx val="2"/>
              <c:layout>
                <c:manualLayout>
                  <c:x val="1.7006802721088437E-2"/>
                  <c:y val="-0.288994457640538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66-4366-BD4B-1B565E591322}"/>
                </c:ext>
              </c:extLst>
            </c:dLbl>
            <c:dLbl>
              <c:idx val="3"/>
              <c:layout>
                <c:manualLayout>
                  <c:x val="1.4880952380952458E-2"/>
                  <c:y val="-0.384006334125098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66-4366-BD4B-1B565E591322}"/>
                </c:ext>
              </c:extLst>
            </c:dLbl>
            <c:dLbl>
              <c:idx val="4"/>
              <c:layout>
                <c:manualLayout>
                  <c:x val="1.913265306122449E-2"/>
                  <c:y val="-0.395882818685669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66-4366-BD4B-1B565E5913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Sheet1!$C$111:$G$111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Sheet1!$C$120:$G$120</c:f>
              <c:numCache>
                <c:formatCode>0.00%</c:formatCode>
                <c:ptCount val="5"/>
                <c:pt idx="0">
                  <c:v>1.6618306515431284E-2</c:v>
                </c:pt>
                <c:pt idx="1">
                  <c:v>1.5307402760351318E-2</c:v>
                </c:pt>
                <c:pt idx="2">
                  <c:v>1.2960893854748603E-2</c:v>
                </c:pt>
                <c:pt idx="3">
                  <c:v>1.8615474112856311E-2</c:v>
                </c:pt>
                <c:pt idx="4">
                  <c:v>1.9424460431654675E-2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6-4366-BD4B-1B565E591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44593488"/>
        <c:axId val="844590608"/>
        <c:axId val="0"/>
      </c:bar3DChart>
      <c:catAx>
        <c:axId val="84459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4590608"/>
        <c:crosses val="autoZero"/>
        <c:auto val="1"/>
        <c:lblAlgn val="ctr"/>
        <c:lblOffset val="100"/>
        <c:noMultiLvlLbl val="0"/>
      </c:catAx>
      <c:valAx>
        <c:axId val="84459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844593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</xdr:colOff>
      <xdr:row>15</xdr:row>
      <xdr:rowOff>148590</xdr:rowOff>
    </xdr:from>
    <xdr:to>
      <xdr:col>3</xdr:col>
      <xdr:colOff>826770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973AB-49E1-3757-CCE3-ED381649A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</xdr:colOff>
      <xdr:row>32</xdr:row>
      <xdr:rowOff>95250</xdr:rowOff>
    </xdr:from>
    <xdr:to>
      <xdr:col>3</xdr:col>
      <xdr:colOff>853440</xdr:colOff>
      <xdr:row>48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5AE829-9260-8EAE-E461-A57D44DB50CE}"/>
            </a:ext>
            <a:ext uri="{147F2762-F138-4A5C-976F-8EAC2B608ADB}">
              <a16:predDERef xmlns:a16="http://schemas.microsoft.com/office/drawing/2014/main" pred="{24D973AB-49E1-3757-CCE3-ED381649A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87629</xdr:colOff>
      <xdr:row>15</xdr:row>
      <xdr:rowOff>158115</xdr:rowOff>
    </xdr:from>
    <xdr:to>
      <xdr:col>8</xdr:col>
      <xdr:colOff>206187</xdr:colOff>
      <xdr:row>31</xdr:row>
      <xdr:rowOff>44823</xdr:rowOff>
    </xdr:to>
    <xdr:graphicFrame macro="">
      <xdr:nvGraphicFramePr>
        <xdr:cNvPr id="70" name="Chart 3">
          <a:extLst>
            <a:ext uri="{FF2B5EF4-FFF2-40B4-BE49-F238E27FC236}">
              <a16:creationId xmlns:a16="http://schemas.microsoft.com/office/drawing/2014/main" id="{D69408F8-F57B-2964-9833-AE9241AEA198}"/>
            </a:ext>
            <a:ext uri="{147F2762-F138-4A5C-976F-8EAC2B608ADB}">
              <a16:predDERef xmlns:a16="http://schemas.microsoft.com/office/drawing/2014/main" pred="{615AE829-9260-8EAE-E461-A57D44DB5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32</xdr:row>
      <xdr:rowOff>118110</xdr:rowOff>
    </xdr:from>
    <xdr:to>
      <xdr:col>9</xdr:col>
      <xdr:colOff>289560</xdr:colOff>
      <xdr:row>48</xdr:row>
      <xdr:rowOff>53340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3F62F1DA-4D8D-D845-8939-F9AD7E0A515B}"/>
            </a:ext>
            <a:ext uri="{147F2762-F138-4A5C-976F-8EAC2B608ADB}">
              <a16:predDERef xmlns:a16="http://schemas.microsoft.com/office/drawing/2014/main" pred="{D69408F8-F57B-2964-9833-AE9241AEA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28575</xdr:colOff>
      <xdr:row>82</xdr:row>
      <xdr:rowOff>38100</xdr:rowOff>
    </xdr:from>
    <xdr:to>
      <xdr:col>3</xdr:col>
      <xdr:colOff>1171575</xdr:colOff>
      <xdr:row>97</xdr:row>
      <xdr:rowOff>104775</xdr:rowOff>
    </xdr:to>
    <xdr:graphicFrame macro="">
      <xdr:nvGraphicFramePr>
        <xdr:cNvPr id="67" name="Γράφημα 13">
          <a:extLst>
            <a:ext uri="{FF2B5EF4-FFF2-40B4-BE49-F238E27FC236}">
              <a16:creationId xmlns:a16="http://schemas.microsoft.com/office/drawing/2014/main" id="{8FB34BB5-9B10-8655-8078-4EEE2830AAF1}"/>
            </a:ext>
            <a:ext uri="{147F2762-F138-4A5C-976F-8EAC2B608ADB}">
              <a16:predDERef xmlns:a16="http://schemas.microsoft.com/office/drawing/2014/main" pred="{3F62F1DA-4D8D-D845-8939-F9AD7E0A5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28575</xdr:colOff>
      <xdr:row>63</xdr:row>
      <xdr:rowOff>38100</xdr:rowOff>
    </xdr:from>
    <xdr:to>
      <xdr:col>3</xdr:col>
      <xdr:colOff>1181100</xdr:colOff>
      <xdr:row>80</xdr:row>
      <xdr:rowOff>123825</xdr:rowOff>
    </xdr:to>
    <xdr:graphicFrame macro="">
      <xdr:nvGraphicFramePr>
        <xdr:cNvPr id="69" name="Chart 30">
          <a:extLst>
            <a:ext uri="{FF2B5EF4-FFF2-40B4-BE49-F238E27FC236}">
              <a16:creationId xmlns:a16="http://schemas.microsoft.com/office/drawing/2014/main" id="{8792C180-9CF2-14CD-2B84-DB814B4E4DEA}"/>
            </a:ext>
            <a:ext uri="{147F2762-F138-4A5C-976F-8EAC2B608ADB}">
              <a16:predDERef xmlns:a16="http://schemas.microsoft.com/office/drawing/2014/main" pred="{8FB34BB5-9B10-8655-8078-4EEE2830A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9525</xdr:colOff>
      <xdr:row>63</xdr:row>
      <xdr:rowOff>28575</xdr:rowOff>
    </xdr:from>
    <xdr:to>
      <xdr:col>10</xdr:col>
      <xdr:colOff>828675</xdr:colOff>
      <xdr:row>80</xdr:row>
      <xdr:rowOff>161925</xdr:rowOff>
    </xdr:to>
    <xdr:graphicFrame macro="">
      <xdr:nvGraphicFramePr>
        <xdr:cNvPr id="90" name="Chart 33">
          <a:extLst>
            <a:ext uri="{FF2B5EF4-FFF2-40B4-BE49-F238E27FC236}">
              <a16:creationId xmlns:a16="http://schemas.microsoft.com/office/drawing/2014/main" id="{ADB90853-17A6-A0F7-D13F-5F122045E266}"/>
            </a:ext>
            <a:ext uri="{147F2762-F138-4A5C-976F-8EAC2B608ADB}">
              <a16:predDERef xmlns:a16="http://schemas.microsoft.com/office/drawing/2014/main" pred="{8792C180-9CF2-14CD-2B84-DB814B4E4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28575</xdr:colOff>
      <xdr:row>82</xdr:row>
      <xdr:rowOff>19050</xdr:rowOff>
    </xdr:from>
    <xdr:to>
      <xdr:col>10</xdr:col>
      <xdr:colOff>838200</xdr:colOff>
      <xdr:row>97</xdr:row>
      <xdr:rowOff>76200</xdr:rowOff>
    </xdr:to>
    <xdr:graphicFrame macro="">
      <xdr:nvGraphicFramePr>
        <xdr:cNvPr id="66" name="Γράφημα 65">
          <a:extLst>
            <a:ext uri="{FF2B5EF4-FFF2-40B4-BE49-F238E27FC236}">
              <a16:creationId xmlns:a16="http://schemas.microsoft.com/office/drawing/2014/main" id="{5F1424FE-33F8-2496-04F1-E4F51743279E}"/>
            </a:ext>
            <a:ext uri="{147F2762-F138-4A5C-976F-8EAC2B608ADB}">
              <a16:predDERef xmlns:a16="http://schemas.microsoft.com/office/drawing/2014/main" pred="{ADB90853-17A6-A0F7-D13F-5F122045E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30480</xdr:colOff>
      <xdr:row>122</xdr:row>
      <xdr:rowOff>38100</xdr:rowOff>
    </xdr:from>
    <xdr:to>
      <xdr:col>3</xdr:col>
      <xdr:colOff>1211580</xdr:colOff>
      <xdr:row>138</xdr:row>
      <xdr:rowOff>144780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7360B6F3-E937-B0C9-A1D1-45D3B0081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571500</xdr:colOff>
      <xdr:row>122</xdr:row>
      <xdr:rowOff>38100</xdr:rowOff>
    </xdr:from>
    <xdr:to>
      <xdr:col>9</xdr:col>
      <xdr:colOff>891540</xdr:colOff>
      <xdr:row>138</xdr:row>
      <xdr:rowOff>160020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DBC14E8E-20B4-6E77-B163-5694753C7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228600</xdr:colOff>
      <xdr:row>106</xdr:row>
      <xdr:rowOff>15240</xdr:rowOff>
    </xdr:from>
    <xdr:to>
      <xdr:col>11</xdr:col>
      <xdr:colOff>868680</xdr:colOff>
      <xdr:row>120</xdr:row>
      <xdr:rowOff>91440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6EDE9D7-4F6A-0608-CC25-8E9879694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15240</xdr:colOff>
      <xdr:row>140</xdr:row>
      <xdr:rowOff>22860</xdr:rowOff>
    </xdr:from>
    <xdr:to>
      <xdr:col>3</xdr:col>
      <xdr:colOff>1226820</xdr:colOff>
      <xdr:row>156</xdr:row>
      <xdr:rowOff>167640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7C52F068-8E8C-086B-8D2F-28FF447F9F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586740</xdr:colOff>
      <xdr:row>140</xdr:row>
      <xdr:rowOff>15240</xdr:rowOff>
    </xdr:from>
    <xdr:to>
      <xdr:col>9</xdr:col>
      <xdr:colOff>891540</xdr:colOff>
      <xdr:row>156</xdr:row>
      <xdr:rowOff>175260</xdr:rowOff>
    </xdr:to>
    <xdr:graphicFrame macro="">
      <xdr:nvGraphicFramePr>
        <xdr:cNvPr id="8" name="Γράφημα 7">
          <a:extLst>
            <a:ext uri="{FF2B5EF4-FFF2-40B4-BE49-F238E27FC236}">
              <a16:creationId xmlns:a16="http://schemas.microsoft.com/office/drawing/2014/main" id="{857D38A7-399F-CA1B-BEF5-50B3D5232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2A4CA-E0E8-4561-84B2-EF208F595DBD}">
  <dimension ref="B2:Q121"/>
  <sheetViews>
    <sheetView tabSelected="1" topLeftCell="A139" workbookViewId="0">
      <selection activeCell="B1" sqref="B1:L159"/>
    </sheetView>
  </sheetViews>
  <sheetFormatPr defaultColWidth="8.88671875" defaultRowHeight="15" customHeight="1" x14ac:dyDescent="0.25"/>
  <cols>
    <col min="1" max="1" width="5.6640625" style="1" customWidth="1"/>
    <col min="2" max="2" width="55.6640625" style="1" customWidth="1"/>
    <col min="3" max="3" width="18.88671875" style="1" customWidth="1"/>
    <col min="4" max="4" width="18.109375" style="1" customWidth="1"/>
    <col min="5" max="5" width="17.88671875" style="1" customWidth="1"/>
    <col min="6" max="6" width="16.5546875" style="1" customWidth="1"/>
    <col min="7" max="7" width="17.5546875" style="1" customWidth="1"/>
    <col min="8" max="8" width="17.33203125" style="1" customWidth="1"/>
    <col min="9" max="12" width="13.33203125" style="1" customWidth="1"/>
    <col min="13" max="13" width="35.77734375" style="1" customWidth="1"/>
    <col min="14" max="14" width="13" style="1" customWidth="1"/>
    <col min="15" max="15" width="11.88671875" style="1" customWidth="1"/>
    <col min="16" max="16" width="11.109375" style="1" customWidth="1"/>
    <col min="17" max="17" width="10.44140625" style="1" customWidth="1"/>
    <col min="18" max="18" width="11.109375" style="1" bestFit="1" customWidth="1"/>
    <col min="19" max="16384" width="8.88671875" style="1"/>
  </cols>
  <sheetData>
    <row r="2" spans="2:7" ht="15.6" x14ac:dyDescent="0.3">
      <c r="B2" s="2" t="s">
        <v>0</v>
      </c>
      <c r="C2" s="3"/>
      <c r="D2" s="3"/>
      <c r="E2" s="3"/>
      <c r="F2" s="3"/>
      <c r="G2" s="3"/>
    </row>
    <row r="3" spans="2:7" ht="15.6" x14ac:dyDescent="0.3">
      <c r="B3" s="4"/>
      <c r="C3" s="9">
        <v>2020</v>
      </c>
      <c r="D3" s="9">
        <v>2021</v>
      </c>
      <c r="E3" s="9">
        <v>2022</v>
      </c>
      <c r="F3" s="9">
        <v>2023</v>
      </c>
      <c r="G3" s="9">
        <v>2024</v>
      </c>
    </row>
    <row r="4" spans="2:7" ht="15.6" x14ac:dyDescent="0.3">
      <c r="B4" s="5" t="s">
        <v>1</v>
      </c>
      <c r="C4" s="22">
        <v>3791</v>
      </c>
      <c r="D4" s="22">
        <v>3985</v>
      </c>
      <c r="E4" s="22">
        <v>4475</v>
      </c>
      <c r="F4" s="22">
        <v>5157</v>
      </c>
      <c r="G4" s="22">
        <v>5560</v>
      </c>
    </row>
    <row r="5" spans="2:7" ht="13.8" x14ac:dyDescent="0.25">
      <c r="B5" s="1" t="s">
        <v>2</v>
      </c>
      <c r="C5" s="23">
        <v>-2795</v>
      </c>
      <c r="D5" s="23">
        <v>-2926</v>
      </c>
      <c r="E5" s="23">
        <v>-3313</v>
      </c>
      <c r="F5" s="23">
        <v>-3811</v>
      </c>
      <c r="G5" s="23">
        <v>-4121</v>
      </c>
    </row>
    <row r="6" spans="2:7" ht="15.6" x14ac:dyDescent="0.3">
      <c r="B6" s="8" t="s">
        <v>3</v>
      </c>
      <c r="C6" s="24">
        <f>C4+C5</f>
        <v>996</v>
      </c>
      <c r="D6" s="24">
        <f>D4+D5</f>
        <v>1059</v>
      </c>
      <c r="E6" s="24">
        <f>E4+E5</f>
        <v>1162</v>
      </c>
      <c r="F6" s="24">
        <f>F4+F5</f>
        <v>1346</v>
      </c>
      <c r="G6" s="24">
        <f>G4+G5</f>
        <v>1439</v>
      </c>
    </row>
    <row r="7" spans="2:7" ht="13.8" x14ac:dyDescent="0.25">
      <c r="C7" s="23"/>
      <c r="D7" s="23"/>
      <c r="E7" s="23"/>
      <c r="F7" s="23"/>
      <c r="G7" s="23"/>
    </row>
    <row r="8" spans="2:7" ht="13.8" x14ac:dyDescent="0.25">
      <c r="B8" s="1" t="s">
        <v>2</v>
      </c>
      <c r="C8" s="23">
        <v>-2795</v>
      </c>
      <c r="D8" s="23">
        <v>-2926</v>
      </c>
      <c r="E8" s="23">
        <v>-3313</v>
      </c>
      <c r="F8" s="23">
        <v>-3811</v>
      </c>
      <c r="G8" s="23">
        <v>-4121</v>
      </c>
    </row>
    <row r="9" spans="2:7" ht="13.8" x14ac:dyDescent="0.25">
      <c r="B9" s="1" t="s">
        <v>4</v>
      </c>
      <c r="C9" s="23">
        <v>-683</v>
      </c>
      <c r="D9" s="23">
        <v>-711</v>
      </c>
      <c r="E9" s="23">
        <v>-820</v>
      </c>
      <c r="F9" s="23">
        <v>-875</v>
      </c>
      <c r="G9" s="23">
        <v>-966</v>
      </c>
    </row>
    <row r="10" spans="2:7" ht="13.8" x14ac:dyDescent="0.25">
      <c r="B10" s="1" t="s">
        <v>5</v>
      </c>
      <c r="C10" s="23">
        <v>-173</v>
      </c>
      <c r="D10" s="23">
        <v>-184</v>
      </c>
      <c r="E10" s="23">
        <v>-202</v>
      </c>
      <c r="F10" s="23">
        <v>-233</v>
      </c>
      <c r="G10" s="23">
        <v>-262</v>
      </c>
    </row>
    <row r="11" spans="2:7" ht="15.6" x14ac:dyDescent="0.3">
      <c r="B11" s="8" t="s">
        <v>6</v>
      </c>
      <c r="C11" s="25">
        <f>SUM(C9:C10)</f>
        <v>-856</v>
      </c>
      <c r="D11" s="25">
        <f>SUM(D9:D10)</f>
        <v>-895</v>
      </c>
      <c r="E11" s="25">
        <f>SUM(E9:E10)</f>
        <v>-1022</v>
      </c>
      <c r="F11" s="25">
        <f>SUM(F9:F10)</f>
        <v>-1108</v>
      </c>
      <c r="G11" s="25">
        <f>SUM(G9:G10)</f>
        <v>-1228</v>
      </c>
    </row>
    <row r="12" spans="2:7" ht="15.6" x14ac:dyDescent="0.3">
      <c r="B12" s="6"/>
      <c r="C12" s="26"/>
      <c r="D12" s="26"/>
      <c r="E12" s="26"/>
      <c r="F12" s="26"/>
      <c r="G12" s="26"/>
    </row>
    <row r="13" spans="2:7" ht="15.6" x14ac:dyDescent="0.3">
      <c r="B13" s="7" t="s">
        <v>7</v>
      </c>
      <c r="C13" s="27">
        <v>63</v>
      </c>
      <c r="D13" s="27">
        <v>61</v>
      </c>
      <c r="E13" s="27">
        <v>58</v>
      </c>
      <c r="F13" s="27">
        <v>96</v>
      </c>
      <c r="G13" s="27">
        <v>108</v>
      </c>
    </row>
    <row r="14" spans="2:7" ht="13.8" x14ac:dyDescent="0.25"/>
    <row r="15" spans="2:7" ht="13.8" x14ac:dyDescent="0.25">
      <c r="C15" s="17">
        <v>856</v>
      </c>
      <c r="D15" s="17">
        <v>895</v>
      </c>
      <c r="E15" s="17">
        <v>1022</v>
      </c>
      <c r="F15" s="17">
        <v>1108</v>
      </c>
      <c r="G15" s="17">
        <v>1228</v>
      </c>
    </row>
    <row r="17" ht="13.8" x14ac:dyDescent="0.25"/>
    <row r="18" ht="13.8" x14ac:dyDescent="0.25"/>
    <row r="52" spans="2:17" ht="15.6" x14ac:dyDescent="0.3">
      <c r="B52" s="10" t="s">
        <v>8</v>
      </c>
      <c r="C52" s="11" t="s">
        <v>9</v>
      </c>
      <c r="D52" s="11" t="s">
        <v>9</v>
      </c>
      <c r="E52" s="11" t="s">
        <v>9</v>
      </c>
      <c r="F52" s="11" t="s">
        <v>9</v>
      </c>
      <c r="G52" s="11" t="s">
        <v>9</v>
      </c>
      <c r="H52" s="11" t="s">
        <v>9</v>
      </c>
      <c r="I52" s="12" t="s">
        <v>9</v>
      </c>
      <c r="J52" s="12" t="s">
        <v>9</v>
      </c>
      <c r="K52" s="12" t="s">
        <v>9</v>
      </c>
      <c r="L52" s="12" t="s">
        <v>9</v>
      </c>
    </row>
    <row r="53" spans="2:17" ht="13.95" customHeight="1" x14ac:dyDescent="0.3">
      <c r="B53" s="13"/>
      <c r="C53" s="14"/>
      <c r="D53" s="14"/>
      <c r="E53" s="14"/>
      <c r="F53" s="14"/>
      <c r="G53" s="14"/>
      <c r="H53" s="37"/>
      <c r="I53" s="72" t="s">
        <v>10</v>
      </c>
      <c r="J53" s="73"/>
      <c r="K53" s="73"/>
      <c r="L53" s="74"/>
      <c r="M53" s="40" t="s">
        <v>26</v>
      </c>
      <c r="N53" s="75" t="s">
        <v>11</v>
      </c>
      <c r="O53" s="76"/>
      <c r="P53" s="76"/>
      <c r="Q53" s="77"/>
    </row>
    <row r="54" spans="2:17" ht="15.6" x14ac:dyDescent="0.3">
      <c r="B54" s="14"/>
      <c r="C54" s="14"/>
      <c r="D54" s="14"/>
      <c r="E54" s="14"/>
      <c r="F54" s="14"/>
      <c r="G54" s="14"/>
      <c r="H54" s="38"/>
      <c r="I54" s="15" t="s">
        <v>12</v>
      </c>
      <c r="J54" s="15" t="s">
        <v>13</v>
      </c>
      <c r="K54" s="15" t="s">
        <v>14</v>
      </c>
      <c r="L54" s="39" t="s">
        <v>15</v>
      </c>
      <c r="M54" s="41"/>
      <c r="N54" s="15" t="s">
        <v>12</v>
      </c>
      <c r="O54" s="15" t="s">
        <v>13</v>
      </c>
      <c r="P54" s="15" t="s">
        <v>14</v>
      </c>
      <c r="Q54" s="39" t="s">
        <v>15</v>
      </c>
    </row>
    <row r="55" spans="2:17" ht="15.6" x14ac:dyDescent="0.3">
      <c r="B55" s="18" t="s">
        <v>1</v>
      </c>
      <c r="C55" s="28">
        <v>3791</v>
      </c>
      <c r="D55" s="28">
        <v>3985</v>
      </c>
      <c r="E55" s="28">
        <v>4475</v>
      </c>
      <c r="F55" s="28">
        <v>5157</v>
      </c>
      <c r="G55" s="49">
        <v>5560</v>
      </c>
      <c r="H55" s="18" t="s">
        <v>1</v>
      </c>
      <c r="I55" s="30">
        <f t="shared" ref="I55:L58" si="0">(D55-C55)/C55</f>
        <v>5.1173832761804275E-2</v>
      </c>
      <c r="J55" s="30">
        <f t="shared" si="0"/>
        <v>0.12296110414052698</v>
      </c>
      <c r="K55" s="30">
        <f t="shared" si="0"/>
        <v>0.1524022346368715</v>
      </c>
      <c r="L55" s="31">
        <f t="shared" si="0"/>
        <v>7.8146209036261391E-2</v>
      </c>
      <c r="M55" s="18" t="s">
        <v>1</v>
      </c>
      <c r="N55" s="33">
        <f>(D55-$C$55)/$C$55</f>
        <v>5.1173832761804275E-2</v>
      </c>
      <c r="O55" s="33">
        <f>(E55-$C$55)/$C$55</f>
        <v>0.18042732788182539</v>
      </c>
      <c r="P55" s="33">
        <f>(F55-$C$55)/$C$55</f>
        <v>0.3603270904774466</v>
      </c>
      <c r="Q55" s="34">
        <f>(G55-$C$55)/$C$55</f>
        <v>0.46663149564758638</v>
      </c>
    </row>
    <row r="56" spans="2:17" ht="15.6" x14ac:dyDescent="0.3">
      <c r="B56" s="19" t="s">
        <v>2</v>
      </c>
      <c r="C56" s="23">
        <v>-2795</v>
      </c>
      <c r="D56" s="23">
        <v>-2926</v>
      </c>
      <c r="E56" s="23">
        <v>-3313</v>
      </c>
      <c r="F56" s="23">
        <v>-3811</v>
      </c>
      <c r="G56" s="50">
        <v>-4121</v>
      </c>
      <c r="H56" s="19" t="s">
        <v>2</v>
      </c>
      <c r="I56" s="16">
        <f t="shared" si="0"/>
        <v>4.6869409660107338E-2</v>
      </c>
      <c r="J56" s="16">
        <f t="shared" si="0"/>
        <v>0.13226247436773753</v>
      </c>
      <c r="K56" s="16">
        <f t="shared" si="0"/>
        <v>0.15031693329308785</v>
      </c>
      <c r="L56" s="32">
        <f t="shared" si="0"/>
        <v>8.1343479401731825E-2</v>
      </c>
      <c r="M56" s="19" t="s">
        <v>2</v>
      </c>
      <c r="N56" s="16">
        <f>(D56-$C$56)/$C$56</f>
        <v>4.6869409660107338E-2</v>
      </c>
      <c r="O56" s="16">
        <f>(E56-$C$56)/$C$56</f>
        <v>0.1853309481216458</v>
      </c>
      <c r="P56" s="16">
        <f>(F56-$C$56)/$C$56</f>
        <v>0.3635062611806798</v>
      </c>
      <c r="Q56" s="32">
        <f>(G56-$C$56)/$C$56</f>
        <v>0.47441860465116281</v>
      </c>
    </row>
    <row r="57" spans="2:17" ht="15.6" x14ac:dyDescent="0.3">
      <c r="B57" s="19" t="s">
        <v>16</v>
      </c>
      <c r="C57" s="23">
        <v>-173</v>
      </c>
      <c r="D57" s="23">
        <v>-184</v>
      </c>
      <c r="E57" s="23">
        <v>-202</v>
      </c>
      <c r="F57" s="23">
        <v>-233</v>
      </c>
      <c r="G57" s="50">
        <v>-262</v>
      </c>
      <c r="H57" s="19" t="s">
        <v>16</v>
      </c>
      <c r="I57" s="16">
        <f t="shared" si="0"/>
        <v>6.358381502890173E-2</v>
      </c>
      <c r="J57" s="16">
        <f t="shared" si="0"/>
        <v>9.7826086956521743E-2</v>
      </c>
      <c r="K57" s="16">
        <f t="shared" si="0"/>
        <v>0.15346534653465346</v>
      </c>
      <c r="L57" s="32">
        <f t="shared" si="0"/>
        <v>0.12446351931330472</v>
      </c>
      <c r="M57" s="19" t="s">
        <v>16</v>
      </c>
      <c r="N57" s="16">
        <f>(D57-$C$57)/$C$57</f>
        <v>6.358381502890173E-2</v>
      </c>
      <c r="O57" s="16">
        <f>(E57-$C$57)/$C$57</f>
        <v>0.16763005780346821</v>
      </c>
      <c r="P57" s="16">
        <f>(F57-$C$57)/$C$57</f>
        <v>0.34682080924855491</v>
      </c>
      <c r="Q57" s="32">
        <f>(G57-$C$57)/$C$57</f>
        <v>0.51445086705202314</v>
      </c>
    </row>
    <row r="58" spans="2:17" ht="15.6" x14ac:dyDescent="0.3">
      <c r="B58" s="19" t="s">
        <v>17</v>
      </c>
      <c r="C58" s="23">
        <v>-683</v>
      </c>
      <c r="D58" s="23">
        <v>-711</v>
      </c>
      <c r="E58" s="23">
        <v>-820</v>
      </c>
      <c r="F58" s="23">
        <v>-875</v>
      </c>
      <c r="G58" s="50">
        <v>-966</v>
      </c>
      <c r="H58" s="19" t="s">
        <v>17</v>
      </c>
      <c r="I58" s="16">
        <f t="shared" si="0"/>
        <v>4.0995607613469986E-2</v>
      </c>
      <c r="J58" s="16">
        <f t="shared" si="0"/>
        <v>0.15330520393811534</v>
      </c>
      <c r="K58" s="16">
        <f t="shared" si="0"/>
        <v>6.7073170731707321E-2</v>
      </c>
      <c r="L58" s="32">
        <f t="shared" si="0"/>
        <v>0.104</v>
      </c>
      <c r="M58" s="19" t="s">
        <v>17</v>
      </c>
      <c r="N58" s="16">
        <f>(D58-$C$58)/$C$58</f>
        <v>4.0995607613469986E-2</v>
      </c>
      <c r="O58" s="16">
        <f>(E58-$C$58)/$C$58</f>
        <v>0.20058565153733529</v>
      </c>
      <c r="P58" s="16">
        <f>(F58-$C$58)/$C$58</f>
        <v>0.28111273792093705</v>
      </c>
      <c r="Q58" s="32">
        <f>(G58-$C$58)/$C$58</f>
        <v>0.41434846266471448</v>
      </c>
    </row>
    <row r="59" spans="2:17" ht="15.6" x14ac:dyDescent="0.3">
      <c r="B59" s="19" t="s">
        <v>18</v>
      </c>
      <c r="C59" s="29">
        <v>0</v>
      </c>
      <c r="D59" s="29">
        <v>0</v>
      </c>
      <c r="E59" s="29">
        <v>0</v>
      </c>
      <c r="F59" s="29">
        <v>0</v>
      </c>
      <c r="G59" s="51">
        <v>0</v>
      </c>
      <c r="H59" s="19" t="s">
        <v>18</v>
      </c>
      <c r="I59" s="16"/>
      <c r="J59" s="16"/>
      <c r="K59" s="16"/>
      <c r="L59" s="32"/>
      <c r="M59" s="19" t="s">
        <v>18</v>
      </c>
      <c r="N59" s="16"/>
      <c r="O59" s="16"/>
      <c r="P59" s="16"/>
      <c r="Q59" s="32"/>
    </row>
    <row r="60" spans="2:17" ht="15.6" x14ac:dyDescent="0.3">
      <c r="B60" s="20" t="s">
        <v>19</v>
      </c>
      <c r="C60" s="25">
        <f>SUM(C57:C59)</f>
        <v>-856</v>
      </c>
      <c r="D60" s="25">
        <f>SUM(D57:D59)</f>
        <v>-895</v>
      </c>
      <c r="E60" s="25">
        <f>SUM(E57:E59)</f>
        <v>-1022</v>
      </c>
      <c r="F60" s="25">
        <f>SUM(F57:F59)</f>
        <v>-1108</v>
      </c>
      <c r="G60" s="52">
        <f>SUM(G57:G59)</f>
        <v>-1228</v>
      </c>
      <c r="H60" s="20" t="s">
        <v>19</v>
      </c>
      <c r="I60" s="33">
        <f t="shared" ref="I60:L62" si="1">(D60-C60)/C60</f>
        <v>4.55607476635514E-2</v>
      </c>
      <c r="J60" s="33">
        <f t="shared" si="1"/>
        <v>0.14189944134078211</v>
      </c>
      <c r="K60" s="33">
        <f t="shared" si="1"/>
        <v>8.4148727984344418E-2</v>
      </c>
      <c r="L60" s="34">
        <f t="shared" si="1"/>
        <v>0.10830324909747292</v>
      </c>
      <c r="M60" s="20" t="s">
        <v>19</v>
      </c>
      <c r="N60" s="33">
        <f>(D60-$C$60)/$C$60</f>
        <v>4.55607476635514E-2</v>
      </c>
      <c r="O60" s="33">
        <f>(E60-$C$60)/$C$60</f>
        <v>0.19392523364485981</v>
      </c>
      <c r="P60" s="33">
        <f>(F60-$C$60)/$C$60</f>
        <v>0.29439252336448596</v>
      </c>
      <c r="Q60" s="34">
        <f>(G60-$C$60)/$C$60</f>
        <v>0.43457943925233644</v>
      </c>
    </row>
    <row r="61" spans="2:17" ht="15.6" x14ac:dyDescent="0.3">
      <c r="B61" s="20" t="s">
        <v>20</v>
      </c>
      <c r="C61" s="24">
        <f>C55+C56</f>
        <v>996</v>
      </c>
      <c r="D61" s="24">
        <f>D55+D56</f>
        <v>1059</v>
      </c>
      <c r="E61" s="24">
        <f>E55+E56</f>
        <v>1162</v>
      </c>
      <c r="F61" s="24">
        <f>F55+F56</f>
        <v>1346</v>
      </c>
      <c r="G61" s="53">
        <f>G55+G56</f>
        <v>1439</v>
      </c>
      <c r="H61" s="20" t="s">
        <v>20</v>
      </c>
      <c r="I61" s="33">
        <f t="shared" si="1"/>
        <v>6.3253012048192767E-2</v>
      </c>
      <c r="J61" s="33">
        <f t="shared" si="1"/>
        <v>9.7261567516525024E-2</v>
      </c>
      <c r="K61" s="33">
        <f t="shared" si="1"/>
        <v>0.15834767641996558</v>
      </c>
      <c r="L61" s="34">
        <f t="shared" si="1"/>
        <v>6.9093610698365532E-2</v>
      </c>
      <c r="M61" s="20" t="s">
        <v>20</v>
      </c>
      <c r="N61" s="33">
        <f>(D61-$C$61)/$C$61</f>
        <v>6.3253012048192767E-2</v>
      </c>
      <c r="O61" s="33">
        <f>(E61-$C$61)/$C$61</f>
        <v>0.16666666666666666</v>
      </c>
      <c r="P61" s="33">
        <f>(F61-$C$61)/$C$61</f>
        <v>0.35140562248995982</v>
      </c>
      <c r="Q61" s="34">
        <f>(G61-$C$61)/$C$61</f>
        <v>0.44477911646586343</v>
      </c>
    </row>
    <row r="62" spans="2:17" ht="15.6" x14ac:dyDescent="0.3">
      <c r="B62" s="21" t="s">
        <v>7</v>
      </c>
      <c r="C62" s="27">
        <v>63</v>
      </c>
      <c r="D62" s="27">
        <v>61</v>
      </c>
      <c r="E62" s="27">
        <v>58</v>
      </c>
      <c r="F62" s="27">
        <v>96</v>
      </c>
      <c r="G62" s="54">
        <v>108</v>
      </c>
      <c r="H62" s="21" t="s">
        <v>7</v>
      </c>
      <c r="I62" s="35">
        <f t="shared" si="1"/>
        <v>-3.1746031746031744E-2</v>
      </c>
      <c r="J62" s="35">
        <f t="shared" si="1"/>
        <v>-4.9180327868852458E-2</v>
      </c>
      <c r="K62" s="35">
        <f t="shared" si="1"/>
        <v>0.65517241379310343</v>
      </c>
      <c r="L62" s="36">
        <f t="shared" si="1"/>
        <v>0.125</v>
      </c>
      <c r="M62" s="21" t="s">
        <v>7</v>
      </c>
      <c r="N62" s="35">
        <f>(D62-$C$62)/$C$62</f>
        <v>-3.1746031746031744E-2</v>
      </c>
      <c r="O62" s="35">
        <f>(E62-$C$62)/$C$62</f>
        <v>-7.9365079365079361E-2</v>
      </c>
      <c r="P62" s="35">
        <f>(F62-$C$62)/$C$62</f>
        <v>0.52380952380952384</v>
      </c>
      <c r="Q62" s="36">
        <f>(G62-$C$62)/$C$62</f>
        <v>0.7142857142857143</v>
      </c>
    </row>
    <row r="63" spans="2:17" ht="13.8" x14ac:dyDescent="0.25">
      <c r="I63" s="16"/>
      <c r="J63" s="16"/>
      <c r="K63" s="16"/>
      <c r="L63" s="16"/>
    </row>
    <row r="100" spans="2:7" ht="15" customHeight="1" x14ac:dyDescent="0.3">
      <c r="B100" s="42" t="s">
        <v>27</v>
      </c>
      <c r="C100" s="42"/>
      <c r="D100" s="59"/>
      <c r="E100" s="59"/>
      <c r="F100" s="59"/>
      <c r="G100" s="60"/>
    </row>
    <row r="101" spans="2:7" ht="15" customHeight="1" x14ac:dyDescent="0.3">
      <c r="B101" s="61"/>
      <c r="C101" s="61"/>
      <c r="D101" s="62"/>
      <c r="E101" s="62"/>
      <c r="F101" s="62"/>
      <c r="G101" s="63"/>
    </row>
    <row r="102" spans="2:7" ht="15" customHeight="1" x14ac:dyDescent="0.3">
      <c r="B102" s="44"/>
      <c r="C102" s="9">
        <v>2020</v>
      </c>
      <c r="D102" s="9">
        <v>2021</v>
      </c>
      <c r="E102" s="9">
        <v>2022</v>
      </c>
      <c r="F102" s="9">
        <v>2023</v>
      </c>
      <c r="G102" s="9">
        <v>2024</v>
      </c>
    </row>
    <row r="103" spans="2:7" ht="15" customHeight="1" x14ac:dyDescent="0.3">
      <c r="B103" s="43"/>
      <c r="C103" s="43"/>
      <c r="D103" s="43"/>
      <c r="E103" s="43"/>
      <c r="F103" s="43"/>
      <c r="G103" s="43"/>
    </row>
    <row r="104" spans="2:7" ht="15" customHeight="1" x14ac:dyDescent="0.3">
      <c r="B104" s="64" t="s">
        <v>16</v>
      </c>
      <c r="C104" s="23">
        <v>-173</v>
      </c>
      <c r="D104" s="23">
        <v>-184</v>
      </c>
      <c r="E104" s="23">
        <v>-202</v>
      </c>
      <c r="F104" s="23">
        <v>-233</v>
      </c>
      <c r="G104" s="50">
        <v>-262</v>
      </c>
    </row>
    <row r="105" spans="2:7" ht="15" customHeight="1" x14ac:dyDescent="0.3">
      <c r="B105" s="64" t="s">
        <v>17</v>
      </c>
      <c r="C105" s="23">
        <v>-683</v>
      </c>
      <c r="D105" s="23">
        <v>-711</v>
      </c>
      <c r="E105" s="23">
        <v>-820</v>
      </c>
      <c r="F105" s="23">
        <v>-875</v>
      </c>
      <c r="G105" s="50">
        <v>-966</v>
      </c>
    </row>
    <row r="106" spans="2:7" ht="15" customHeight="1" x14ac:dyDescent="0.3">
      <c r="B106" s="64" t="s">
        <v>18</v>
      </c>
      <c r="C106" s="29">
        <v>0</v>
      </c>
      <c r="D106" s="29">
        <v>0</v>
      </c>
      <c r="E106" s="29">
        <v>0</v>
      </c>
      <c r="F106" s="29">
        <v>0</v>
      </c>
      <c r="G106" s="51">
        <v>0</v>
      </c>
    </row>
    <row r="107" spans="2:7" ht="15" customHeight="1" x14ac:dyDescent="0.3">
      <c r="B107" s="65" t="s">
        <v>19</v>
      </c>
      <c r="C107" s="66">
        <f>C104+C105+C106</f>
        <v>-856</v>
      </c>
      <c r="D107" s="66">
        <f t="shared" ref="D107:G107" si="2">D104+D105+D106</f>
        <v>-895</v>
      </c>
      <c r="E107" s="66">
        <f t="shared" si="2"/>
        <v>-1022</v>
      </c>
      <c r="F107" s="66">
        <f t="shared" si="2"/>
        <v>-1108</v>
      </c>
      <c r="G107" s="66">
        <f t="shared" si="2"/>
        <v>-1228</v>
      </c>
    </row>
    <row r="109" spans="2:7" ht="15" customHeight="1" x14ac:dyDescent="0.3">
      <c r="B109" s="42" t="s">
        <v>21</v>
      </c>
      <c r="C109" s="42"/>
      <c r="D109" s="42"/>
      <c r="E109" s="42"/>
      <c r="F109" s="42"/>
      <c r="G109" s="42"/>
    </row>
    <row r="110" spans="2:7" ht="15" customHeight="1" x14ac:dyDescent="0.3">
      <c r="B110" s="43"/>
      <c r="C110" s="43"/>
      <c r="D110" s="43"/>
      <c r="E110" s="43"/>
      <c r="F110" s="43"/>
      <c r="G110" s="43"/>
    </row>
    <row r="111" spans="2:7" ht="15" customHeight="1" x14ac:dyDescent="0.3">
      <c r="B111" s="44"/>
      <c r="C111" s="9">
        <v>2020</v>
      </c>
      <c r="D111" s="9">
        <v>2021</v>
      </c>
      <c r="E111" s="9">
        <v>2022</v>
      </c>
      <c r="F111" s="9">
        <v>2023</v>
      </c>
      <c r="G111" s="9">
        <v>2024</v>
      </c>
    </row>
    <row r="112" spans="2:7" ht="15" customHeight="1" x14ac:dyDescent="0.3">
      <c r="B112" s="45" t="s">
        <v>1</v>
      </c>
      <c r="C112" s="57">
        <v>3791</v>
      </c>
      <c r="D112" s="57">
        <v>3985</v>
      </c>
      <c r="E112" s="57">
        <v>4475</v>
      </c>
      <c r="F112" s="57">
        <v>5157</v>
      </c>
      <c r="G112" s="58">
        <v>5560</v>
      </c>
    </row>
    <row r="113" spans="2:7" ht="15" customHeight="1" x14ac:dyDescent="0.3">
      <c r="B113" s="45" t="s">
        <v>2</v>
      </c>
      <c r="C113" s="55">
        <v>2795</v>
      </c>
      <c r="D113" s="55">
        <v>2926</v>
      </c>
      <c r="E113" s="55">
        <v>3313</v>
      </c>
      <c r="F113" s="55">
        <v>3811</v>
      </c>
      <c r="G113" s="56">
        <v>4121</v>
      </c>
    </row>
    <row r="114" spans="2:7" ht="15" customHeight="1" x14ac:dyDescent="0.3">
      <c r="B114" s="45" t="s">
        <v>22</v>
      </c>
      <c r="C114" s="55">
        <v>996</v>
      </c>
      <c r="D114" s="55">
        <v>1059</v>
      </c>
      <c r="E114" s="55">
        <v>1162</v>
      </c>
      <c r="F114" s="55">
        <v>1346</v>
      </c>
      <c r="G114" s="56">
        <v>1439</v>
      </c>
    </row>
    <row r="115" spans="2:7" ht="15" customHeight="1" x14ac:dyDescent="0.25">
      <c r="B115" s="69" t="s">
        <v>7</v>
      </c>
      <c r="C115" s="70">
        <v>63</v>
      </c>
      <c r="D115" s="70">
        <v>61</v>
      </c>
      <c r="E115" s="70">
        <v>58</v>
      </c>
      <c r="F115" s="70">
        <v>96</v>
      </c>
      <c r="G115" s="71">
        <v>108</v>
      </c>
    </row>
    <row r="116" spans="2:7" ht="15" customHeight="1" x14ac:dyDescent="0.3">
      <c r="B116" s="46" t="s">
        <v>19</v>
      </c>
      <c r="C116" s="55">
        <v>856</v>
      </c>
      <c r="D116" s="55">
        <v>895</v>
      </c>
      <c r="E116" s="55">
        <v>1022</v>
      </c>
      <c r="F116" s="55">
        <v>1108</v>
      </c>
      <c r="G116" s="56">
        <v>1228</v>
      </c>
    </row>
    <row r="117" spans="2:7" ht="15" customHeight="1" x14ac:dyDescent="0.3">
      <c r="B117" s="47" t="s">
        <v>23</v>
      </c>
      <c r="C117" s="67">
        <f>C116/C112</f>
        <v>0.22579794249538379</v>
      </c>
      <c r="D117" s="67">
        <f>D116/D112</f>
        <v>0.2245922208281054</v>
      </c>
      <c r="E117" s="67">
        <f>E116/E112</f>
        <v>0.22837988826815642</v>
      </c>
      <c r="F117" s="67">
        <f>F116/F112</f>
        <v>0.21485359705254994</v>
      </c>
      <c r="G117" s="67">
        <f>G116/G112</f>
        <v>0.22086330935251799</v>
      </c>
    </row>
    <row r="118" spans="2:7" ht="15" customHeight="1" x14ac:dyDescent="0.3">
      <c r="B118" s="47" t="s">
        <v>24</v>
      </c>
      <c r="C118" s="67">
        <f>C113/C112</f>
        <v>0.73727248747032448</v>
      </c>
      <c r="D118" s="67">
        <f t="shared" ref="D118:G118" si="3">D113/D112</f>
        <v>0.7342534504391468</v>
      </c>
      <c r="E118" s="67">
        <f t="shared" si="3"/>
        <v>0.74033519553072624</v>
      </c>
      <c r="F118" s="67">
        <f t="shared" si="3"/>
        <v>0.73899554004266044</v>
      </c>
      <c r="G118" s="67">
        <f t="shared" si="3"/>
        <v>0.74118705035971222</v>
      </c>
    </row>
    <row r="119" spans="2:7" ht="15" customHeight="1" x14ac:dyDescent="0.3">
      <c r="B119" s="47" t="s">
        <v>25</v>
      </c>
      <c r="C119" s="68">
        <f>C114/C112</f>
        <v>0.26272751252967552</v>
      </c>
      <c r="D119" s="68">
        <f>D114/D112</f>
        <v>0.2657465495608532</v>
      </c>
      <c r="E119" s="68">
        <f>E114/E112</f>
        <v>0.25966480446927376</v>
      </c>
      <c r="F119" s="68">
        <f>F114/F112</f>
        <v>0.26100445995733956</v>
      </c>
      <c r="G119" s="68">
        <f>G114/G112</f>
        <v>0.25881294964028778</v>
      </c>
    </row>
    <row r="120" spans="2:7" ht="15" customHeight="1" x14ac:dyDescent="0.3">
      <c r="B120" s="47" t="s">
        <v>28</v>
      </c>
      <c r="C120" s="68">
        <f>C115/C112</f>
        <v>1.6618306515431284E-2</v>
      </c>
      <c r="D120" s="68">
        <f>D115/D112</f>
        <v>1.5307402760351318E-2</v>
      </c>
      <c r="E120" s="68">
        <f t="shared" ref="E120:G120" si="4">E115/E112</f>
        <v>1.2960893854748603E-2</v>
      </c>
      <c r="F120" s="68">
        <f t="shared" si="4"/>
        <v>1.8615474112856311E-2</v>
      </c>
      <c r="G120" s="68">
        <f t="shared" si="4"/>
        <v>1.9424460431654675E-2</v>
      </c>
    </row>
    <row r="121" spans="2:7" ht="15" customHeight="1" x14ac:dyDescent="0.3">
      <c r="B121" s="47"/>
      <c r="C121" s="48"/>
      <c r="D121" s="48"/>
      <c r="E121" s="48"/>
      <c r="F121" s="48"/>
      <c r="G121" s="48"/>
    </row>
  </sheetData>
  <mergeCells count="2">
    <mergeCell ref="I53:L53"/>
    <mergeCell ref="N53:Q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Spyros-Evtychios Lagios</dc:creator>
  <cp:keywords/>
  <dc:description/>
  <cp:lastModifiedBy>Παναγιωτης Κωστ.</cp:lastModifiedBy>
  <cp:revision/>
  <dcterms:created xsi:type="dcterms:W3CDTF">2025-10-30T09:49:32Z</dcterms:created>
  <dcterms:modified xsi:type="dcterms:W3CDTF">2026-08-11T08:23:03Z</dcterms:modified>
  <cp:category/>
  <cp:contentStatus/>
</cp:coreProperties>
</file>