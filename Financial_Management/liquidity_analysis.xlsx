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07aec70558032046/Υπολογιστής/Financial_Management/"/>
    </mc:Choice>
  </mc:AlternateContent>
  <xr:revisionPtr revIDLastSave="0" documentId="8_{B72E58A2-A8F9-4BC2-8482-F19F42C4D079}" xr6:coauthVersionLast="47" xr6:coauthVersionMax="47" xr10:uidLastSave="{00000000-0000-0000-0000-000000000000}"/>
  <bookViews>
    <workbookView xWindow="-108" yWindow="-108" windowWidth="23256" windowHeight="12456" xr2:uid="{F3C67F9E-853D-4A70-BEAC-0306AD782CB9}"/>
  </bookViews>
  <sheets>
    <sheet name="ρευστότητα" sheetId="1" r:id="rId1"/>
    <sheet name="LAGIO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2" l="1"/>
  <c r="C46" i="2"/>
  <c r="D46" i="2"/>
  <c r="E46" i="2"/>
  <c r="F46" i="2"/>
  <c r="G46" i="2"/>
  <c r="C49" i="2"/>
  <c r="D49" i="2"/>
  <c r="E49" i="2"/>
  <c r="E51" i="2" s="1"/>
  <c r="F49" i="2"/>
  <c r="F51" i="2" s="1"/>
  <c r="G49" i="2"/>
  <c r="G51" i="2" s="1"/>
  <c r="C51" i="2"/>
  <c r="D51" i="2"/>
  <c r="D52" i="2" s="1"/>
  <c r="D53" i="2" s="1"/>
  <c r="N44" i="2" s="1"/>
  <c r="N52" i="2"/>
  <c r="O52" i="2"/>
  <c r="N58" i="2" s="1"/>
  <c r="P52" i="2"/>
  <c r="Q52" i="2"/>
  <c r="M53" i="2"/>
  <c r="N53" i="2"/>
  <c r="M59" i="2" s="1"/>
  <c r="O53" i="2"/>
  <c r="N59" i="2" s="1"/>
  <c r="P53" i="2"/>
  <c r="O59" i="2" s="1"/>
  <c r="Q53" i="2"/>
  <c r="R53" i="2"/>
  <c r="M54" i="2"/>
  <c r="M60" i="2" s="1"/>
  <c r="N54" i="2"/>
  <c r="O54" i="2"/>
  <c r="P54" i="2"/>
  <c r="P60" i="2" s="1"/>
  <c r="Q54" i="2"/>
  <c r="N55" i="2"/>
  <c r="O55" i="2"/>
  <c r="P55" i="2"/>
  <c r="Q55" i="2"/>
  <c r="O58" i="2"/>
  <c r="P58" i="2"/>
  <c r="Q59" i="2"/>
  <c r="N60" i="2"/>
  <c r="Q60" i="2"/>
  <c r="C62" i="2"/>
  <c r="M55" i="2" s="1"/>
  <c r="R55" i="2" s="1"/>
  <c r="G52" i="2" l="1"/>
  <c r="G53" i="2"/>
  <c r="Q44" i="2" s="1"/>
  <c r="F52" i="2"/>
  <c r="F53" i="2" s="1"/>
  <c r="P44" i="2" s="1"/>
  <c r="E52" i="2"/>
  <c r="E53" i="2" s="1"/>
  <c r="O44" i="2" s="1"/>
  <c r="Q58" i="2"/>
  <c r="O60" i="2"/>
  <c r="P59" i="2"/>
  <c r="R54" i="2"/>
  <c r="C52" i="2"/>
  <c r="C53" i="2" s="1"/>
  <c r="M44" i="2" s="1"/>
  <c r="M52" i="2"/>
  <c r="R52" i="2" l="1"/>
  <c r="M58" i="2"/>
  <c r="Q22" i="1" l="1"/>
  <c r="P22" i="1"/>
  <c r="N5" i="1"/>
  <c r="O5" i="1"/>
  <c r="P5" i="1"/>
  <c r="Q5" i="1"/>
  <c r="N6" i="1"/>
  <c r="O6" i="1"/>
  <c r="P6" i="1"/>
  <c r="Q6" i="1"/>
  <c r="N7" i="1"/>
  <c r="O7" i="1"/>
  <c r="P7" i="1"/>
  <c r="Q7" i="1"/>
  <c r="N8" i="1"/>
  <c r="O8" i="1"/>
  <c r="P8" i="1"/>
  <c r="Q8" i="1"/>
  <c r="N21" i="1"/>
  <c r="O21" i="1"/>
  <c r="P21" i="1"/>
  <c r="Q21" i="1"/>
  <c r="M22" i="1"/>
  <c r="N22" i="1"/>
  <c r="O22" i="1"/>
  <c r="M23" i="1"/>
  <c r="N23" i="1"/>
  <c r="O23" i="1"/>
  <c r="P23" i="1"/>
  <c r="Q23" i="1"/>
  <c r="N24" i="1"/>
  <c r="O24" i="1"/>
  <c r="P24" i="1"/>
  <c r="Q24" i="1"/>
  <c r="N29" i="1"/>
  <c r="C21" i="1"/>
  <c r="M24" i="1" s="1"/>
  <c r="R24" i="1" s="1"/>
  <c r="N12" i="1" l="1"/>
  <c r="Q28" i="1"/>
  <c r="M29" i="1"/>
  <c r="M28" i="1"/>
  <c r="P27" i="1"/>
  <c r="P29" i="1"/>
  <c r="N28" i="1"/>
  <c r="O29" i="1"/>
  <c r="O27" i="1"/>
  <c r="R23" i="1"/>
  <c r="P28" i="1"/>
  <c r="Q29" i="1"/>
  <c r="N27" i="1"/>
  <c r="R22" i="1"/>
  <c r="O28" i="1"/>
  <c r="M21" i="1"/>
  <c r="R21" i="1" s="1"/>
  <c r="Q27" i="1" l="1"/>
  <c r="M27" i="1"/>
  <c r="C31" i="2" l="1"/>
  <c r="M21" i="2" l="1"/>
  <c r="M8" i="1"/>
  <c r="R8" i="1" s="1"/>
  <c r="M7" i="1"/>
  <c r="M6" i="1"/>
  <c r="R6" i="1" s="1"/>
  <c r="M5" i="1"/>
  <c r="R5" i="1" s="1"/>
  <c r="C15" i="2"/>
  <c r="D15" i="2"/>
  <c r="E15" i="2"/>
  <c r="F15" i="2"/>
  <c r="G15" i="2"/>
  <c r="C18" i="2"/>
  <c r="D18" i="2"/>
  <c r="E18" i="2"/>
  <c r="E20" i="2" s="1"/>
  <c r="F18" i="2"/>
  <c r="F20" i="2" s="1"/>
  <c r="G18" i="2"/>
  <c r="G20" i="2" s="1"/>
  <c r="C20" i="2"/>
  <c r="D20" i="2"/>
  <c r="N21" i="2"/>
  <c r="M22" i="2"/>
  <c r="N22" i="2"/>
  <c r="O22" i="2"/>
  <c r="P22" i="2"/>
  <c r="Q22" i="2"/>
  <c r="M23" i="2"/>
  <c r="N23" i="2"/>
  <c r="O23" i="2"/>
  <c r="P23" i="2"/>
  <c r="Q23" i="2"/>
  <c r="N24" i="2"/>
  <c r="O24" i="2"/>
  <c r="P24" i="2"/>
  <c r="P21" i="2"/>
  <c r="Q24" i="2"/>
  <c r="R7" i="1" l="1"/>
  <c r="Q13" i="1"/>
  <c r="O11" i="1"/>
  <c r="O13" i="1"/>
  <c r="O12" i="1"/>
  <c r="P29" i="2"/>
  <c r="R22" i="2"/>
  <c r="O29" i="2"/>
  <c r="N29" i="2"/>
  <c r="O28" i="2"/>
  <c r="O27" i="2"/>
  <c r="M29" i="2"/>
  <c r="N27" i="2"/>
  <c r="N28" i="2"/>
  <c r="M13" i="1"/>
  <c r="M12" i="1"/>
  <c r="N13" i="1"/>
  <c r="N11" i="1"/>
  <c r="R23" i="2"/>
  <c r="Q28" i="2"/>
  <c r="Q11" i="1"/>
  <c r="P12" i="1"/>
  <c r="M11" i="1"/>
  <c r="M28" i="2"/>
  <c r="M24" i="2"/>
  <c r="R24" i="2" s="1"/>
  <c r="M27" i="2"/>
  <c r="Q12" i="1"/>
  <c r="P13" i="1"/>
  <c r="P11" i="1"/>
  <c r="G21" i="2"/>
  <c r="G22" i="2" s="1"/>
  <c r="Q13" i="2" s="1"/>
  <c r="E21" i="2"/>
  <c r="E22" i="2" s="1"/>
  <c r="O13" i="2" s="1"/>
  <c r="F21" i="2"/>
  <c r="F22" i="2" s="1"/>
  <c r="P13" i="2" s="1"/>
  <c r="R21" i="2"/>
  <c r="P28" i="2"/>
  <c r="D21" i="2"/>
  <c r="D22" i="2" s="1"/>
  <c r="N13" i="2" s="1"/>
  <c r="Q29" i="2"/>
  <c r="C21" i="2"/>
  <c r="C22" i="2" s="1"/>
  <c r="M13" i="2" s="1"/>
  <c r="Q21" i="2"/>
  <c r="P27" i="2" l="1"/>
  <c r="Q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tc={B032B91E-483A-465F-B77E-A7AD758DD168}</author>
    <author>tc={DBC2F88C-38CE-4003-A8F6-0EE8C1B8E933}</author>
    <author>tc={4573FCF2-66C6-4F83-82BD-16E4CA6C58FE}</author>
    <author>tc={53F152CE-540D-44A6-A003-03BEEDC379A6}</author>
    <author>tc={AB1BB4E8-FFE8-429E-8E74-30A54F9D0CD5}</author>
  </authors>
  <commentList>
    <comment ref="G5" authorId="0" shapeId="0" xr:uid="{B032B91E-483A-465F-B77E-A7AD758DD16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Σημειώνεται αύξηση των απαιτήσεων της εταιρείας κατά πελατών κατά 85 εκατομμύρια από το 2018 στο 2022 (ποσοστό 23,28%). Δεδομένου ότι το ποσοστό αύξησης του κύκλου εργασιών 14,56% για την ίδια χρονική περίοδο (από 5.150 εκ € σε 5.900 εκ €) είναι μικρότερο του ποσοστού αύξησης των απαιτήσεων κατά πελατών, συνεπάγεται ότι έχει αυξηθεί η μέση διάρκεια των χορηγούμενων προς τους πελάτες πιστώσεων.
</t>
      </text>
    </comment>
    <comment ref="G8" authorId="1" shapeId="0" xr:uid="{DBC2F88C-38CE-4003-A8F6-0EE8C1B8E93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Οι βραχυπρόθεσμες υποχρεώσεις αυξήθηκαν συνολικά κατά 165 εκατομμύρια (σε ποσοστό 32,03%) από το 2018 στο 2022. Η αύξηση υποχρεώσεων από συναλλαγές είναι φυσιολογική και οφείλεται στην αύξηση του κύκλου εργασιών της επιχείρησης. Συνεπεία των αυξήσεων αυτών, η αναλογία των βραχυπρόθεσμων επί της συνολικής αξίας του παθητικού αυξήθηκε από 30,56% (2018) σε 39,42% (2022).</t>
      </text>
    </comment>
    <comment ref="G19" authorId="2" shapeId="0" xr:uid="{4573FCF2-66C6-4F83-82BD-16E4CA6C58F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Σημειώνεται αύξηση των απαιτήσεων της εταιρείας κατά πελατών κατά 85 εκατομμύρια από το 2018 στο 2022 (ποσοστό 23,28%). Δεδομένου ότι το ποσοστό αύξησης του κύκλου εργασιών 14,56% για την ίδια χρονική περίοδο (από 5.150 εκ € σε 5.900 εκ €) είναι μικρότερο του ποσοστού αύξησης των απαιτήσεων κατά πελατών, συνεπάγεται ότι έχει αυξηθεί η μέση διάρκεια των χορηγούμενων προς τους πελάτες πιστώσεων.
</t>
      </text>
    </comment>
    <comment ref="G22" authorId="3" shapeId="0" xr:uid="{53F152CE-540D-44A6-A003-03BEEDC379A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Οι βραχυπρόθεσμες υποχρεώσεις αυξήθηκαν συνολικά κατά 165 εκατομμύρια (σε ποσοστό 32,03%) από το 2018 στο 2022. Η αύξηση υποχρεώσεων από συναλλαγές είναι φυσιολογική και οφείλεται στην αύξηση του κύκλου εργασιών της επιχείρησης. Συνεπεία των αυξήσεων αυτών, η αναλογία των βραχυπρόθεσμων επί της συνολικής αξίας του παθητικού αυξήθηκε από 30,56% (2018) σε 39,42% (2022).</t>
      </text>
    </comment>
    <comment ref="G23" authorId="4" shapeId="0" xr:uid="{AB1BB4E8-FFE8-429E-8E74-30A54F9D0CD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Οι μακροπρόθεσμες υποχρεώσεις μειώθηκαν κατά 95 εκατομμύρια (σε ποσοστό κατά 15,57%), (εξαιτίας της εξόφλησης τμήματος του μακροπρόθεσμου δανείου κατά 95 εκατομμύρια). Έτσι η αναλογία τους επί της συνολικής αξίας του παθητικού μειώθηκε από 36,20% (2018) σε 29,85% (2022).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tc={79C0B515-FA0C-4948-9A2D-8C83C4A489D4}</author>
    <author>tc={B403CB36-DC48-4929-AC0E-B2FA34BC6D41}</author>
    <author>tc={CB650E9B-207D-422C-BE14-8139DF703909}</author>
    <author>tc={2F979763-5ED8-486D-8E54-014BD95F306A}</author>
  </authors>
  <commentList>
    <comment ref="G28" authorId="0" shapeId="0" xr:uid="{79C0B515-FA0C-4948-9A2D-8C83C4A489D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Η σημαντική μείωση των αποθεμάτων κατά 119 εκατομμύρια (σε ποσοστό 24,79% σε σχέση με το έτος 2018), οφείλεται στη συνεχή αύξηση των πωλήσεων (απορροφόνται τα υψηλά αποθέματα έτοιμων προϊόντων που υπάρχουν). 
</t>
      </text>
    </comment>
    <comment ref="G29" authorId="1" shapeId="0" xr:uid="{B403CB36-DC48-4929-AC0E-B2FA34BC6D4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Σημειώνεται αύξηση των απαιτήσεων της εταιρείας κατά πελατών κατά 85 εκατομμύρια από το 2018 στο 2022 (ποσοστό 23,28%). Δεδομένου ότι το ποσοστό αύξησης του κύκλου εργασιών 14,56% για την ίδια χρονική περίοδο (από 5.150 εκ € σε 5.900 εκ €) είναι μικρότερο του ποσοστού αύξησης των απαιτήσεων κατά πελατών, συνεπάγεται ότι έχει αυξηθεί η μέση διάρκεια των χορηγούμενων προς τους πελάτες πιστώσεων.
</t>
      </text>
    </comment>
    <comment ref="G35" authorId="2" shapeId="0" xr:uid="{CB650E9B-207D-422C-BE14-8139DF70390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Οι βραχυπρόθεσμες υποχρεώσεις αυξήθηκαν συνολικά κατά 165 εκατομμύρια (σε ποσοστό 32,03%) από το 2018 στο 2022. Η αύξηση υποχρεώσεων από συναλλαγές είναι φυσιολογική και οφείλεται στην αύξηση του κύκλου εργασιών της επιχείρησης. Συνεπεία των αυξήσεων αυτών, η αναλογία των βραχυπρόθεσμων επί της συνολικής αξίας του παθητικού αυξήθηκε από 30,56% (2018) σε 39,42% (2022).</t>
      </text>
    </comment>
    <comment ref="G36" authorId="3" shapeId="0" xr:uid="{2F979763-5ED8-486D-8E54-014BD95F306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Οι μακροπρόθεσμες υποχρεώσεις μειώθηκαν κατά 95 εκατομμύρια (σε ποσοστό κατά 15,57%), (εξαιτίας της εξόφλησης τμήματος του μακροπρόθεσμου δανείου κατά 95 εκατομμύρια). Έτσι η αναλογία τους επί της συνολικής αξίας του παθητικού μειώθηκε από 36,20% (2018) σε 29,85% (2022).</t>
      </text>
    </comment>
  </commentList>
</comments>
</file>

<file path=xl/sharedStrings.xml><?xml version="1.0" encoding="utf-8"?>
<sst xmlns="http://schemas.openxmlformats.org/spreadsheetml/2006/main" count="162" uniqueCount="66">
  <si>
    <t>Σας δίνονται οι παρακάτω πληροφορίες για μια επιχείρηση, για πέντε έτη.</t>
  </si>
  <si>
    <t>Απαντήστε στα παρακάτω ερωτήματα:</t>
  </si>
  <si>
    <t>1) Ποια είναι η σχέση του καθαρού αποτελέσματος με τον κύκλο εργασιών διαχρονικά;</t>
  </si>
  <si>
    <t>2) Τι βαθμό ρευστότητας παρουσιάζει η επιχείρηση; Ποια είναι η μέση τιμή κάθε δείκτη για την πενταετία;</t>
  </si>
  <si>
    <t>3) Ποια είναι η μεταβολή των αριθμοδεικτών από έτος σε έτος;</t>
  </si>
  <si>
    <t>4) Τι συμπεράσματα μπορούμε να εξάγουμε;</t>
  </si>
  <si>
    <t>ALPHA - BHTA AE</t>
  </si>
  <si>
    <t>Έτη</t>
  </si>
  <si>
    <t xml:space="preserve">1). </t>
  </si>
  <si>
    <t>Kάθετη ανάλυση, υπολογισμοί:</t>
  </si>
  <si>
    <t>Κύκλος εργασιών (πωλήσεις)</t>
  </si>
  <si>
    <t>(Μείον) Κόστος πωλήσεων</t>
  </si>
  <si>
    <t>% καθαρού αποτελέσματος επί των πωλήσεων</t>
  </si>
  <si>
    <t>Μικτά αποτελέσματα (κέρδη) εκμετάλλευσης</t>
  </si>
  <si>
    <t>(Μείον) Έξοδα διοίκησης</t>
  </si>
  <si>
    <t>(Μείον) Έξοδα λειτουργίας διαθέσης</t>
  </si>
  <si>
    <t xml:space="preserve">2). </t>
  </si>
  <si>
    <t>Κέρδη προ φόρων και τόκων</t>
  </si>
  <si>
    <t xml:space="preserve">Μέσος  όρος 5ετίας </t>
  </si>
  <si>
    <t>(Μείον) Χρεωστικοί τόκοι</t>
  </si>
  <si>
    <t>Κέρδη προ φόρων</t>
  </si>
  <si>
    <t>Αριθμοδείκτες Ρευστότητας</t>
  </si>
  <si>
    <t>(Μείον) Φόρος εισοδήματος</t>
  </si>
  <si>
    <t>Γενική ρευστότητα</t>
  </si>
  <si>
    <t>κυκλοφορούν ενεργητικό / βραχυπρόθεσμες υποχρεώσεις</t>
  </si>
  <si>
    <t>Καθαρό αποτέλεσμα (κέρδη) χρήσης</t>
  </si>
  <si>
    <t>Άμεση ρευστότητα</t>
  </si>
  <si>
    <t>απαιτήσεις + διαθέσιμα/ βραχυπρόθεσμες υποχρεώσεις</t>
  </si>
  <si>
    <t>Ταμειακή ρευστότητα</t>
  </si>
  <si>
    <t>ταμειακά διαθέσιμα/ βραχυπρόθεσμες υποχρεώσεις</t>
  </si>
  <si>
    <t>Κεφάλαιο Κίνησης</t>
  </si>
  <si>
    <t>κυκλοφορούν ενεργητικό - βραχυπρόθεσμες υποχρεώσεις</t>
  </si>
  <si>
    <t xml:space="preserve">Βασικά μεγέθη ρευστότητας </t>
  </si>
  <si>
    <t>ποσοστιαίες μεταβολές</t>
  </si>
  <si>
    <t>2018/2019</t>
  </si>
  <si>
    <t>2019/2020</t>
  </si>
  <si>
    <t>2020/2021</t>
  </si>
  <si>
    <t>2021/2022</t>
  </si>
  <si>
    <t>2018 / 2022</t>
  </si>
  <si>
    <t>Σύνολο παγιου ενεργητικού</t>
  </si>
  <si>
    <t xml:space="preserve">3). </t>
  </si>
  <si>
    <t>Αποθέματα</t>
  </si>
  <si>
    <t>Απαιτήσεις</t>
  </si>
  <si>
    <t>Ταμειακά διαθέσιμα</t>
  </si>
  <si>
    <t xml:space="preserve">Σύνολο κυκλοφορούντος ενεργητικού </t>
  </si>
  <si>
    <t xml:space="preserve">Βραχυχρόνιες υποχρεώσεις </t>
  </si>
  <si>
    <t xml:space="preserve">5) Δείξτε τα αποτελέσματα διαγραμματικά </t>
  </si>
  <si>
    <t xml:space="preserve">Λογαριασμός Αποτελεσμάτων </t>
  </si>
  <si>
    <t>2022/2023</t>
  </si>
  <si>
    <t>2023/2024</t>
  </si>
  <si>
    <t>2020 / 2024</t>
  </si>
  <si>
    <t>Άμεση ρευστότητα (Μασούτης)</t>
  </si>
  <si>
    <t>Γενική ρευστότητα(Μασούτης)</t>
  </si>
  <si>
    <t>Ταμειακή ρευστότητα(Μασούτης)</t>
  </si>
  <si>
    <t>Κεφάλαιο Κίνησης(Μασούτης)</t>
  </si>
  <si>
    <t>Ταμειακή ρευστότητα (Σκλαβενίτης)</t>
  </si>
  <si>
    <t>Άμεση ρευστότητα (Σκλαβενίτης)</t>
  </si>
  <si>
    <t>Γενική ρευστότητα (Σκλαβενίτης)</t>
  </si>
  <si>
    <t>Κεφάλαιο Κίνησης (Σκλαβενίτης)</t>
  </si>
  <si>
    <t>Μασούτης</t>
  </si>
  <si>
    <t>Σκλαβενίτης</t>
  </si>
  <si>
    <t>2018/2020</t>
  </si>
  <si>
    <t>2019/2021</t>
  </si>
  <si>
    <t>2020/2022</t>
  </si>
  <si>
    <t>2021/2023</t>
  </si>
  <si>
    <t>2019 /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</si>
</sst>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Red]#,##0"/>
    <numFmt numFmtId="166" formatCode="#,##0.00;[Red]#,##0.00"/>
    <numFmt numFmtId="167" formatCode="0.000"/>
  </numFmts>
  <fonts count="23" x14ac:knownFonts="1">
    <font>
      <sz val="11"/>
      <color theme="1"/>
      <name val="Calibri"/>
      <family val="2"/>
      <charset val="161"/>
      <scheme val="minor"/>
    </font>
    <font>
      <sz val="11"/>
      <color theme="1"/>
      <name val="Calibri"/>
      <family val="2"/>
      <scheme val="minor"/>
    </font>
    <font>
      <b/>
      <sz val="11"/>
      <color theme="1"/>
      <name val="Calibri"/>
      <family val="2"/>
      <scheme val="minor"/>
    </font>
    <font>
      <sz val="11"/>
      <color theme="1"/>
      <name val="Calibri"/>
      <family val="2"/>
      <charset val="161"/>
      <scheme val="minor"/>
    </font>
    <font>
      <b/>
      <sz val="12"/>
      <color theme="1"/>
      <name val="Times New Roman"/>
      <family val="1"/>
      <charset val="161"/>
    </font>
    <font>
      <sz val="12"/>
      <color theme="1"/>
      <name val="Times New Roman"/>
      <family val="1"/>
      <charset val="161"/>
    </font>
    <font>
      <b/>
      <sz val="10"/>
      <name val="Times New Roman"/>
      <family val="1"/>
    </font>
    <font>
      <sz val="10"/>
      <color theme="1"/>
      <name val="Calibri"/>
      <family val="2"/>
      <charset val="161"/>
      <scheme val="minor"/>
    </font>
    <font>
      <sz val="10"/>
      <color theme="1"/>
      <name val="Times New Roman"/>
      <family val="1"/>
    </font>
    <font>
      <b/>
      <sz val="11"/>
      <color theme="1"/>
      <name val="Calibri"/>
      <family val="2"/>
      <charset val="161"/>
      <scheme val="minor"/>
    </font>
    <font>
      <sz val="9"/>
      <color rgb="FF0000FF"/>
      <name val="Calibri"/>
      <family val="2"/>
      <charset val="161"/>
      <scheme val="minor"/>
    </font>
    <font>
      <b/>
      <sz val="12"/>
      <color theme="1"/>
      <name val="Times New Roman"/>
      <family val="1"/>
    </font>
    <font>
      <sz val="9"/>
      <name val="Calibri"/>
      <family val="2"/>
      <scheme val="minor"/>
    </font>
    <font>
      <b/>
      <sz val="12"/>
      <name val="Times New Roman"/>
      <family val="1"/>
    </font>
    <font>
      <sz val="12"/>
      <name val="Times New Roman"/>
      <family val="1"/>
    </font>
    <font>
      <b/>
      <sz val="12"/>
      <color theme="0" tint="-0.14999847407452621"/>
      <name val="Times New Roman"/>
      <family val="1"/>
    </font>
    <font>
      <sz val="12"/>
      <color theme="1"/>
      <name val="Times New Roman"/>
      <family val="1"/>
    </font>
    <font>
      <b/>
      <sz val="10"/>
      <color theme="1"/>
      <name val="Times New Roman"/>
      <family val="1"/>
    </font>
    <font>
      <b/>
      <sz val="10"/>
      <color theme="1"/>
      <name val="Calibri"/>
      <family val="2"/>
      <charset val="161"/>
      <scheme val="minor"/>
    </font>
    <font>
      <sz val="9"/>
      <name val="Calibri"/>
      <family val="2"/>
      <charset val="161"/>
      <scheme val="minor"/>
    </font>
    <font>
      <b/>
      <sz val="12"/>
      <color rgb="FFFF0000"/>
      <name val="Times New Roman"/>
      <family val="1"/>
    </font>
    <font>
      <sz val="12"/>
      <name val="Times New Roman"/>
      <family val="1"/>
      <charset val="161"/>
    </font>
    <font>
      <sz val="8"/>
      <name val="Calibri"/>
      <family val="2"/>
      <charset val="161"/>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medium">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s>
  <cellStyleXfs count="2">
    <xf numFmtId="0" fontId="0" fillId="0" borderId="0"/>
    <xf numFmtId="9" fontId="3" fillId="0" borderId="0" applyFont="0" applyFill="0" applyBorder="0" applyAlignment="0" applyProtection="0"/>
  </cellStyleXfs>
  <cellXfs count="84">
    <xf numFmtId="0" fontId="0" fillId="0" borderId="0" xfId="0"/>
    <xf numFmtId="0" fontId="0" fillId="0" borderId="1" xfId="0" applyBorder="1"/>
    <xf numFmtId="0" fontId="5" fillId="0" borderId="0" xfId="0" applyFont="1"/>
    <xf numFmtId="0" fontId="4" fillId="0" borderId="2" xfId="0" applyFont="1" applyBorder="1"/>
    <xf numFmtId="0" fontId="5" fillId="0" borderId="2" xfId="0" applyFont="1" applyBorder="1"/>
    <xf numFmtId="0" fontId="4" fillId="0" borderId="2" xfId="0" applyFont="1" applyBorder="1" applyAlignment="1">
      <alignment horizontal="right"/>
    </xf>
    <xf numFmtId="0" fontId="4" fillId="0" borderId="2" xfId="0" applyFont="1" applyBorder="1" applyAlignment="1">
      <alignment horizontal="center"/>
    </xf>
    <xf numFmtId="0" fontId="2" fillId="0" borderId="0" xfId="0" applyFont="1" applyAlignment="1">
      <alignment horizontal="center"/>
    </xf>
    <xf numFmtId="0" fontId="6" fillId="0" borderId="3" xfId="0" applyFont="1" applyBorder="1" applyAlignment="1">
      <alignment horizontal="center" vertical="center" wrapText="1"/>
    </xf>
    <xf numFmtId="0" fontId="7" fillId="0" borderId="5" xfId="0" applyFont="1" applyBorder="1"/>
    <xf numFmtId="0" fontId="8" fillId="0" borderId="6" xfId="0" applyFont="1" applyBorder="1" applyAlignment="1">
      <alignment vertical="center" wrapText="1"/>
    </xf>
    <xf numFmtId="164" fontId="8" fillId="0" borderId="4" xfId="0" applyNumberFormat="1" applyFont="1" applyBorder="1" applyAlignment="1">
      <alignment horizontal="center" vertical="center" wrapText="1"/>
    </xf>
    <xf numFmtId="10" fontId="8" fillId="0" borderId="8" xfId="1" applyNumberFormat="1" applyFont="1" applyBorder="1" applyAlignment="1">
      <alignment vertical="center" wrapText="1"/>
    </xf>
    <xf numFmtId="0" fontId="4" fillId="0" borderId="0" xfId="0" applyFont="1"/>
    <xf numFmtId="3" fontId="4" fillId="0" borderId="0" xfId="0" applyNumberFormat="1" applyFont="1"/>
    <xf numFmtId="0" fontId="0" fillId="0" borderId="5" xfId="0" applyBorder="1"/>
    <xf numFmtId="0" fontId="0" fillId="0" borderId="9" xfId="0" applyBorder="1"/>
    <xf numFmtId="0" fontId="9" fillId="0" borderId="11" xfId="0" applyFont="1" applyBorder="1"/>
    <xf numFmtId="0" fontId="4" fillId="0" borderId="0" xfId="0" applyFont="1" applyAlignment="1">
      <alignment horizontal="right"/>
    </xf>
    <xf numFmtId="0" fontId="0" fillId="0" borderId="2" xfId="0" applyBorder="1"/>
    <xf numFmtId="0" fontId="10" fillId="0" borderId="9" xfId="0" applyFont="1" applyBorder="1" applyAlignment="1">
      <alignment horizontal="left" vertical="center" wrapText="1"/>
    </xf>
    <xf numFmtId="0" fontId="0" fillId="0" borderId="15" xfId="0" applyBorder="1"/>
    <xf numFmtId="0" fontId="1" fillId="0" borderId="11" xfId="0" applyFont="1" applyBorder="1"/>
    <xf numFmtId="0" fontId="10" fillId="0" borderId="2" xfId="0" applyFont="1" applyBorder="1" applyAlignment="1">
      <alignment wrapText="1"/>
    </xf>
    <xf numFmtId="0" fontId="1" fillId="0" borderId="0" xfId="0" applyFont="1" applyAlignment="1">
      <alignment horizontal="right"/>
    </xf>
    <xf numFmtId="2" fontId="0" fillId="0" borderId="0" xfId="0" applyNumberFormat="1"/>
    <xf numFmtId="0" fontId="11" fillId="0" borderId="0" xfId="0" applyFont="1"/>
    <xf numFmtId="0" fontId="12" fillId="0" borderId="9" xfId="0" applyFont="1" applyBorder="1" applyAlignment="1">
      <alignment horizontal="left" vertical="center" wrapText="1"/>
    </xf>
    <xf numFmtId="0" fontId="12" fillId="0" borderId="0" xfId="0" applyFont="1" applyAlignment="1">
      <alignment wrapText="1"/>
    </xf>
    <xf numFmtId="0" fontId="13" fillId="0" borderId="0" xfId="0" applyFont="1"/>
    <xf numFmtId="3" fontId="13" fillId="0" borderId="0" xfId="0" applyNumberFormat="1" applyFont="1"/>
    <xf numFmtId="0" fontId="14" fillId="0" borderId="0" xfId="0" applyFont="1"/>
    <xf numFmtId="0" fontId="13" fillId="0" borderId="0" xfId="0" applyFont="1" applyAlignment="1">
      <alignment horizontal="left"/>
    </xf>
    <xf numFmtId="0" fontId="15" fillId="0" borderId="0" xfId="0" applyFont="1"/>
    <xf numFmtId="3" fontId="15" fillId="0" borderId="0" xfId="0" applyNumberFormat="1" applyFont="1"/>
    <xf numFmtId="0" fontId="10" fillId="0" borderId="0" xfId="0" applyFont="1" applyAlignment="1">
      <alignment wrapText="1"/>
    </xf>
    <xf numFmtId="167" fontId="0" fillId="0" borderId="7" xfId="0" applyNumberFormat="1" applyBorder="1"/>
    <xf numFmtId="3" fontId="0" fillId="0" borderId="7" xfId="0" applyNumberFormat="1" applyBorder="1"/>
    <xf numFmtId="10" fontId="0" fillId="0" borderId="7" xfId="1" applyNumberFormat="1" applyFont="1" applyBorder="1"/>
    <xf numFmtId="0" fontId="0" fillId="0" borderId="7" xfId="0" applyBorder="1"/>
    <xf numFmtId="10" fontId="9" fillId="0" borderId="7" xfId="1" applyNumberFormat="1" applyFont="1" applyBorder="1"/>
    <xf numFmtId="167" fontId="9" fillId="0" borderId="7" xfId="0" applyNumberFormat="1" applyFont="1" applyBorder="1"/>
    <xf numFmtId="0" fontId="16" fillId="0" borderId="0" xfId="0" applyFont="1"/>
    <xf numFmtId="0" fontId="9" fillId="0" borderId="0" xfId="0" applyFont="1"/>
    <xf numFmtId="0" fontId="9" fillId="0" borderId="1" xfId="0" applyFont="1" applyBorder="1"/>
    <xf numFmtId="0" fontId="11" fillId="0" borderId="0" xfId="0" applyFont="1" applyAlignment="1">
      <alignment horizontal="center"/>
    </xf>
    <xf numFmtId="0" fontId="11" fillId="0" borderId="2" xfId="0" applyFont="1" applyBorder="1"/>
    <xf numFmtId="0" fontId="16" fillId="0" borderId="2" xfId="0" applyFont="1" applyBorder="1"/>
    <xf numFmtId="0" fontId="11" fillId="0" borderId="2" xfId="0" applyFont="1" applyBorder="1" applyAlignment="1">
      <alignment horizontal="right"/>
    </xf>
    <xf numFmtId="0" fontId="11" fillId="0" borderId="2" xfId="0" applyFont="1" applyBorder="1" applyAlignment="1">
      <alignment horizontal="center"/>
    </xf>
    <xf numFmtId="0" fontId="9" fillId="0" borderId="0" xfId="0" applyFont="1" applyAlignment="1">
      <alignment horizontal="center"/>
    </xf>
    <xf numFmtId="0" fontId="17" fillId="0" borderId="4" xfId="0" applyFont="1" applyBorder="1" applyAlignment="1">
      <alignment horizontal="center" vertical="center" wrapText="1"/>
    </xf>
    <xf numFmtId="3" fontId="16" fillId="0" borderId="0" xfId="0" applyNumberFormat="1" applyFont="1"/>
    <xf numFmtId="165" fontId="16" fillId="0" borderId="2" xfId="0" applyNumberFormat="1" applyFont="1" applyBorder="1"/>
    <xf numFmtId="0" fontId="18" fillId="0" borderId="7" xfId="0" applyFont="1" applyBorder="1" applyAlignment="1">
      <alignment horizontal="right"/>
    </xf>
    <xf numFmtId="10" fontId="8" fillId="0" borderId="4" xfId="1" applyNumberFormat="1" applyFont="1" applyBorder="1" applyAlignment="1">
      <alignment horizontal="center" wrapText="1"/>
    </xf>
    <xf numFmtId="10" fontId="8" fillId="0" borderId="4" xfId="1" applyNumberFormat="1" applyFont="1" applyBorder="1" applyAlignment="1">
      <alignment horizontal="center" vertical="center" wrapText="1"/>
    </xf>
    <xf numFmtId="3" fontId="11" fillId="0" borderId="0" xfId="0" applyNumberFormat="1" applyFont="1"/>
    <xf numFmtId="165" fontId="16" fillId="0" borderId="0" xfId="0" applyNumberFormat="1" applyFont="1"/>
    <xf numFmtId="0" fontId="11" fillId="0" borderId="10" xfId="0" applyFont="1" applyBorder="1" applyAlignment="1">
      <alignment horizontal="center" wrapText="1"/>
    </xf>
    <xf numFmtId="0" fontId="11" fillId="0" borderId="0" xfId="0" applyFont="1" applyAlignment="1">
      <alignment horizontal="right"/>
    </xf>
    <xf numFmtId="0" fontId="11" fillId="0" borderId="12" xfId="0" applyFont="1" applyBorder="1" applyAlignment="1">
      <alignment horizontal="center" wrapText="1"/>
    </xf>
    <xf numFmtId="0" fontId="11" fillId="0" borderId="13" xfId="0" applyFont="1" applyBorder="1" applyAlignment="1">
      <alignment horizontal="center" wrapText="1"/>
    </xf>
    <xf numFmtId="166" fontId="16" fillId="0" borderId="2" xfId="0" applyNumberFormat="1" applyFont="1" applyBorder="1"/>
    <xf numFmtId="0" fontId="11" fillId="0" borderId="14" xfId="0" applyFont="1" applyBorder="1"/>
    <xf numFmtId="0" fontId="0" fillId="0" borderId="11" xfId="0" applyBorder="1"/>
    <xf numFmtId="0" fontId="0" fillId="0" borderId="0" xfId="0" applyAlignment="1">
      <alignment horizontal="right"/>
    </xf>
    <xf numFmtId="0" fontId="19" fillId="0" borderId="9" xfId="0" applyFont="1" applyBorder="1" applyAlignment="1">
      <alignment horizontal="left" vertical="center" wrapText="1"/>
    </xf>
    <xf numFmtId="0" fontId="19" fillId="0" borderId="0" xfId="0" applyFont="1" applyAlignment="1">
      <alignment wrapText="1"/>
    </xf>
    <xf numFmtId="0" fontId="20" fillId="0" borderId="0" xfId="0" applyFont="1"/>
    <xf numFmtId="0" fontId="20" fillId="2" borderId="0" xfId="0" applyFont="1" applyFill="1"/>
    <xf numFmtId="3" fontId="20" fillId="2" borderId="0" xfId="0" applyNumberFormat="1" applyFont="1" applyFill="1"/>
    <xf numFmtId="3" fontId="20" fillId="0" borderId="0" xfId="0" applyNumberFormat="1" applyFont="1"/>
    <xf numFmtId="0" fontId="13" fillId="0" borderId="7" xfId="0" applyFont="1" applyBorder="1" applyAlignment="1">
      <alignment horizontal="center" vertical="center"/>
    </xf>
    <xf numFmtId="43" fontId="0" fillId="0" borderId="7" xfId="0" applyNumberFormat="1" applyBorder="1" applyAlignment="1">
      <alignment horizontal="center" vertical="center"/>
    </xf>
    <xf numFmtId="0" fontId="13" fillId="2" borderId="7" xfId="0" applyFont="1" applyFill="1" applyBorder="1" applyAlignment="1">
      <alignment horizontal="center" vertical="center"/>
    </xf>
    <xf numFmtId="43" fontId="21" fillId="0" borderId="7" xfId="0" applyNumberFormat="1" applyFont="1" applyBorder="1" applyAlignment="1">
      <alignment horizontal="center" vertical="center"/>
    </xf>
    <xf numFmtId="43" fontId="21" fillId="2" borderId="7" xfId="0" applyNumberFormat="1" applyFont="1" applyFill="1" applyBorder="1" applyAlignment="1">
      <alignment horizontal="center" vertical="center"/>
    </xf>
    <xf numFmtId="0" fontId="4" fillId="0" borderId="10"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11" fillId="0" borderId="10" xfId="0" applyFont="1" applyBorder="1" applyAlignment="1">
      <alignment horizontal="center" wrapText="1"/>
    </xf>
    <xf numFmtId="0" fontId="11" fillId="0" borderId="12" xfId="0" applyFont="1" applyBorder="1" applyAlignment="1">
      <alignment horizontal="center" wrapText="1"/>
    </xf>
    <xf numFmtId="0" fontId="11" fillId="0" borderId="13" xfId="0" applyFont="1" applyBorder="1" applyAlignment="1">
      <alignment horizontal="center" wrapText="1"/>
    </xf>
  </cellXfs>
  <cellStyles count="2">
    <cellStyle name="Κανονικό" xfId="0" builtinId="0"/>
    <cellStyle name="Ποσοστό"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Άμεση</a:t>
            </a:r>
            <a:r>
              <a:rPr lang="el-GR" baseline="0"/>
              <a:t> ρευστότητα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ρευστότητα!$K$6</c:f>
              <c:strCache>
                <c:ptCount val="1"/>
                <c:pt idx="0">
                  <c:v>Άμεση ρευστότητα (Μασούτης)</c:v>
                </c:pt>
              </c:strCache>
            </c:strRef>
          </c:tx>
          <c:spPr>
            <a:ln w="28575" cap="rnd">
              <a:solidFill>
                <a:schemeClr val="accent1"/>
              </a:solidFill>
              <a:round/>
            </a:ln>
            <a:effectLst/>
          </c:spPr>
          <c:marker>
            <c:symbol val="none"/>
          </c:marker>
          <c:dLbls>
            <c:dLbl>
              <c:idx val="0"/>
              <c:layout>
                <c:manualLayout>
                  <c:x val="-1.112474451958511E-2"/>
                  <c:y val="8.7837380356605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5A-49E1-8D9A-E952D1CD98EA}"/>
                </c:ext>
              </c:extLst>
            </c:dLbl>
            <c:dLbl>
              <c:idx val="1"/>
              <c:layout>
                <c:manualLayout>
                  <c:x val="-1.6687116779377703E-2"/>
                  <c:y val="0.11095248045044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5A-49E1-8D9A-E952D1CD98EA}"/>
                </c:ext>
              </c:extLst>
            </c:dLbl>
            <c:dLbl>
              <c:idx val="2"/>
              <c:layout>
                <c:manualLayout>
                  <c:x val="-2.2249489039170268E-2"/>
                  <c:y val="6.4722280262762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5A-49E1-8D9A-E952D1CD98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ρευστότητα!$M$4:$Q$4</c:f>
              <c:numCache>
                <c:formatCode>General</c:formatCode>
                <c:ptCount val="5"/>
                <c:pt idx="0">
                  <c:v>2020</c:v>
                </c:pt>
                <c:pt idx="1">
                  <c:v>2021</c:v>
                </c:pt>
                <c:pt idx="2">
                  <c:v>2022</c:v>
                </c:pt>
                <c:pt idx="3">
                  <c:v>2023</c:v>
                </c:pt>
                <c:pt idx="4">
                  <c:v>2024</c:v>
                </c:pt>
              </c:numCache>
            </c:numRef>
          </c:cat>
          <c:val>
            <c:numRef>
              <c:f>ρευστότητα!$M$6:$Q$6</c:f>
              <c:numCache>
                <c:formatCode>0.000</c:formatCode>
                <c:ptCount val="5"/>
                <c:pt idx="0">
                  <c:v>0.22023566327281047</c:v>
                </c:pt>
                <c:pt idx="1">
                  <c:v>0.19902477384225403</c:v>
                </c:pt>
                <c:pt idx="2">
                  <c:v>0.18987965619115729</c:v>
                </c:pt>
                <c:pt idx="3">
                  <c:v>0.20825937875687192</c:v>
                </c:pt>
                <c:pt idx="4">
                  <c:v>0.13956671573734672</c:v>
                </c:pt>
              </c:numCache>
            </c:numRef>
          </c:val>
          <c:smooth val="0"/>
          <c:extLst>
            <c:ext xmlns:c16="http://schemas.microsoft.com/office/drawing/2014/chart" uri="{C3380CC4-5D6E-409C-BE32-E72D297353CC}">
              <c16:uniqueId val="{00000000-24B9-406E-B265-73F9FC59E9C6}"/>
            </c:ext>
          </c:extLst>
        </c:ser>
        <c:ser>
          <c:idx val="1"/>
          <c:order val="1"/>
          <c:tx>
            <c:strRef>
              <c:f>ρευστότητα!$K$22</c:f>
              <c:strCache>
                <c:ptCount val="1"/>
                <c:pt idx="0">
                  <c:v>Άμεση ρευστότητα (Σκλαβενίτης)</c:v>
                </c:pt>
              </c:strCache>
            </c:strRef>
          </c:tx>
          <c:spPr>
            <a:ln w="28575" cap="rnd">
              <a:solidFill>
                <a:schemeClr val="accent2"/>
              </a:solidFill>
              <a:round/>
            </a:ln>
            <a:effectLst/>
          </c:spPr>
          <c:marker>
            <c:symbol val="none"/>
          </c:marker>
          <c:dLbls>
            <c:dLbl>
              <c:idx val="0"/>
              <c:layout>
                <c:manualLayout>
                  <c:x val="2.7811861298962836E-3"/>
                  <c:y val="-6.9345300281531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5A-49E1-8D9A-E952D1CD98EA}"/>
                </c:ext>
              </c:extLst>
            </c:dLbl>
            <c:dLbl>
              <c:idx val="1"/>
              <c:layout>
                <c:manualLayout>
                  <c:x val="8.3435583896888516E-3"/>
                  <c:y val="-6.47222802627622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5A-49E1-8D9A-E952D1CD98EA}"/>
                </c:ext>
              </c:extLst>
            </c:dLbl>
            <c:dLbl>
              <c:idx val="2"/>
              <c:layout>
                <c:manualLayout>
                  <c:x val="-1.6687116779377703E-2"/>
                  <c:y val="-0.101706440412912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5A-49E1-8D9A-E952D1CD98EA}"/>
                </c:ext>
              </c:extLst>
            </c:dLbl>
            <c:dLbl>
              <c:idx val="3"/>
              <c:layout>
                <c:manualLayout>
                  <c:x val="1.6687116779377599E-2"/>
                  <c:y val="-5.0853220206456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5A-49E1-8D9A-E952D1CD98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ρευστότητα!$M$4:$Q$4</c:f>
              <c:numCache>
                <c:formatCode>General</c:formatCode>
                <c:ptCount val="5"/>
                <c:pt idx="0">
                  <c:v>2020</c:v>
                </c:pt>
                <c:pt idx="1">
                  <c:v>2021</c:v>
                </c:pt>
                <c:pt idx="2">
                  <c:v>2022</c:v>
                </c:pt>
                <c:pt idx="3">
                  <c:v>2023</c:v>
                </c:pt>
                <c:pt idx="4">
                  <c:v>2024</c:v>
                </c:pt>
              </c:numCache>
            </c:numRef>
          </c:cat>
          <c:val>
            <c:numRef>
              <c:f>ρευστότητα!$M$22:$Q$22</c:f>
              <c:numCache>
                <c:formatCode>0.000</c:formatCode>
                <c:ptCount val="5"/>
                <c:pt idx="0">
                  <c:v>0.25759195305751997</c:v>
                </c:pt>
                <c:pt idx="1">
                  <c:v>0.24077200336917093</c:v>
                </c:pt>
                <c:pt idx="2">
                  <c:v>0.20586366133920744</c:v>
                </c:pt>
                <c:pt idx="3">
                  <c:v>0.26555513138469833</c:v>
                </c:pt>
                <c:pt idx="4">
                  <c:v>0.2191465332063689</c:v>
                </c:pt>
              </c:numCache>
            </c:numRef>
          </c:val>
          <c:smooth val="0"/>
          <c:extLst>
            <c:ext xmlns:c16="http://schemas.microsoft.com/office/drawing/2014/chart" uri="{C3380CC4-5D6E-409C-BE32-E72D297353CC}">
              <c16:uniqueId val="{00000001-24B9-406E-B265-73F9FC59E9C6}"/>
            </c:ext>
          </c:extLst>
        </c:ser>
        <c:dLbls>
          <c:showLegendKey val="0"/>
          <c:showVal val="0"/>
          <c:showCatName val="0"/>
          <c:showSerName val="0"/>
          <c:showPercent val="0"/>
          <c:showBubbleSize val="0"/>
        </c:dLbls>
        <c:smooth val="0"/>
        <c:axId val="394743520"/>
        <c:axId val="394744000"/>
      </c:lineChart>
      <c:catAx>
        <c:axId val="39474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94744000"/>
        <c:crosses val="autoZero"/>
        <c:auto val="1"/>
        <c:lblAlgn val="ctr"/>
        <c:lblOffset val="100"/>
        <c:noMultiLvlLbl val="0"/>
      </c:catAx>
      <c:valAx>
        <c:axId val="3947440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394743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Γενική</a:t>
            </a:r>
            <a:r>
              <a:rPr lang="el-GR" baseline="0"/>
              <a:t> ρευστότητα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ρευστότητα!$K$5</c:f>
              <c:strCache>
                <c:ptCount val="1"/>
                <c:pt idx="0">
                  <c:v>Γενική ρευστότητα(Μασούτης)</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ρευστότητα!$M$4:$Q$4</c:f>
              <c:numCache>
                <c:formatCode>General</c:formatCode>
                <c:ptCount val="5"/>
                <c:pt idx="0">
                  <c:v>2020</c:v>
                </c:pt>
                <c:pt idx="1">
                  <c:v>2021</c:v>
                </c:pt>
                <c:pt idx="2">
                  <c:v>2022</c:v>
                </c:pt>
                <c:pt idx="3">
                  <c:v>2023</c:v>
                </c:pt>
                <c:pt idx="4">
                  <c:v>2024</c:v>
                </c:pt>
              </c:numCache>
            </c:numRef>
          </c:cat>
          <c:val>
            <c:numRef>
              <c:f>ρευστότητα!$L$5:$Q$5</c:f>
              <c:numCache>
                <c:formatCode>0.000</c:formatCode>
                <c:ptCount val="6"/>
                <c:pt idx="1">
                  <c:v>0.52331846137922389</c:v>
                </c:pt>
                <c:pt idx="2">
                  <c:v>0.55215255706443223</c:v>
                </c:pt>
                <c:pt idx="3">
                  <c:v>0.61122226775626964</c:v>
                </c:pt>
                <c:pt idx="4">
                  <c:v>0.64871103036107935</c:v>
                </c:pt>
                <c:pt idx="5">
                  <c:v>0.53505882154441886</c:v>
                </c:pt>
              </c:numCache>
            </c:numRef>
          </c:val>
          <c:smooth val="0"/>
          <c:extLst>
            <c:ext xmlns:c16="http://schemas.microsoft.com/office/drawing/2014/chart" uri="{C3380CC4-5D6E-409C-BE32-E72D297353CC}">
              <c16:uniqueId val="{00000000-EE9D-4086-AA3A-E8C1D11DA97F}"/>
            </c:ext>
          </c:extLst>
        </c:ser>
        <c:ser>
          <c:idx val="1"/>
          <c:order val="1"/>
          <c:tx>
            <c:strRef>
              <c:f>ρευστότητα!$K$21</c:f>
              <c:strCache>
                <c:ptCount val="1"/>
                <c:pt idx="0">
                  <c:v>Γενική ρευστότητα (Σκλαβενίτης)</c:v>
                </c:pt>
              </c:strCache>
            </c:strRef>
          </c:tx>
          <c:spPr>
            <a:ln w="28575" cap="rnd">
              <a:solidFill>
                <a:schemeClr val="accent2"/>
              </a:solidFill>
              <a:round/>
            </a:ln>
            <a:effectLst/>
          </c:spPr>
          <c:marker>
            <c:symbol val="none"/>
          </c:marker>
          <c:dLbls>
            <c:dLbl>
              <c:idx val="1"/>
              <c:layout>
                <c:manualLayout>
                  <c:x val="-5.2097331583552106E-2"/>
                  <c:y val="5.32753718285215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9D-4086-AA3A-E8C1D11DA97F}"/>
                </c:ext>
              </c:extLst>
            </c:dLbl>
            <c:dLbl>
              <c:idx val="2"/>
              <c:layout>
                <c:manualLayout>
                  <c:x val="-4.9319553805774331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9D-4086-AA3A-E8C1D11DA97F}"/>
                </c:ext>
              </c:extLst>
            </c:dLbl>
            <c:dLbl>
              <c:idx val="3"/>
              <c:layout>
                <c:manualLayout>
                  <c:x val="-5.4875109361329832E-2"/>
                  <c:y val="7.1793890347039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9D-4086-AA3A-E8C1D11DA97F}"/>
                </c:ext>
              </c:extLst>
            </c:dLbl>
            <c:dLbl>
              <c:idx val="4"/>
              <c:layout>
                <c:manualLayout>
                  <c:x val="-4.6541776027996605E-2"/>
                  <c:y val="0.13660925196850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3638888888888893E-2"/>
                      <c:h val="0.14807888597258673"/>
                    </c:manualLayout>
                  </c15:layout>
                </c:ext>
                <c:ext xmlns:c16="http://schemas.microsoft.com/office/drawing/2014/chart" uri="{C3380CC4-5D6E-409C-BE32-E72D297353CC}">
                  <c16:uniqueId val="{00000005-EE9D-4086-AA3A-E8C1D11DA97F}"/>
                </c:ext>
              </c:extLst>
            </c:dLbl>
            <c:dLbl>
              <c:idx val="5"/>
              <c:layout>
                <c:manualLayout>
                  <c:x val="-6.0430664916885493E-2"/>
                  <c:y val="9.95716681248176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9D-4086-AA3A-E8C1D11DA9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ρευστότητα!$M$4:$Q$4</c:f>
              <c:numCache>
                <c:formatCode>General</c:formatCode>
                <c:ptCount val="5"/>
                <c:pt idx="0">
                  <c:v>2020</c:v>
                </c:pt>
                <c:pt idx="1">
                  <c:v>2021</c:v>
                </c:pt>
                <c:pt idx="2">
                  <c:v>2022</c:v>
                </c:pt>
                <c:pt idx="3">
                  <c:v>2023</c:v>
                </c:pt>
                <c:pt idx="4">
                  <c:v>2024</c:v>
                </c:pt>
              </c:numCache>
            </c:numRef>
          </c:cat>
          <c:val>
            <c:numRef>
              <c:f>ρευστότητα!$L$21:$Q$21</c:f>
              <c:numCache>
                <c:formatCode>0.000</c:formatCode>
                <c:ptCount val="6"/>
                <c:pt idx="1">
                  <c:v>0.51806057506619307</c:v>
                </c:pt>
                <c:pt idx="2">
                  <c:v>0.52207619764172419</c:v>
                </c:pt>
                <c:pt idx="3">
                  <c:v>0.5275249709222154</c:v>
                </c:pt>
                <c:pt idx="4">
                  <c:v>0.56895127166719617</c:v>
                </c:pt>
                <c:pt idx="5">
                  <c:v>0.53971503343237781</c:v>
                </c:pt>
              </c:numCache>
            </c:numRef>
          </c:val>
          <c:smooth val="0"/>
          <c:extLst>
            <c:ext xmlns:c16="http://schemas.microsoft.com/office/drawing/2014/chart" uri="{C3380CC4-5D6E-409C-BE32-E72D297353CC}">
              <c16:uniqueId val="{00000001-EE9D-4086-AA3A-E8C1D11DA97F}"/>
            </c:ext>
          </c:extLst>
        </c:ser>
        <c:dLbls>
          <c:dLblPos val="t"/>
          <c:showLegendKey val="0"/>
          <c:showVal val="1"/>
          <c:showCatName val="0"/>
          <c:showSerName val="0"/>
          <c:showPercent val="0"/>
          <c:showBubbleSize val="0"/>
        </c:dLbls>
        <c:smooth val="0"/>
        <c:axId val="1781856848"/>
        <c:axId val="1781841488"/>
      </c:lineChart>
      <c:catAx>
        <c:axId val="17818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41488"/>
        <c:crosses val="autoZero"/>
        <c:auto val="1"/>
        <c:lblAlgn val="ctr"/>
        <c:lblOffset val="100"/>
        <c:noMultiLvlLbl val="0"/>
      </c:catAx>
      <c:valAx>
        <c:axId val="178184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856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Ταμειακή ρευστότητα</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ρευστότητα!$K$7</c:f>
              <c:strCache>
                <c:ptCount val="1"/>
                <c:pt idx="0">
                  <c:v>Ταμειακή ρευστότητα(Μασούτης)</c:v>
                </c:pt>
              </c:strCache>
            </c:strRef>
          </c:tx>
          <c:spPr>
            <a:ln w="28575" cap="rnd">
              <a:solidFill>
                <a:schemeClr val="accent1"/>
              </a:solidFill>
              <a:round/>
            </a:ln>
            <a:effectLst/>
          </c:spPr>
          <c:marker>
            <c:symbol val="none"/>
          </c:marker>
          <c:dLbls>
            <c:dLbl>
              <c:idx val="1"/>
              <c:layout>
                <c:manualLayout>
                  <c:x val="-5.2097331583552058E-2"/>
                  <c:y val="9.95716681248176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30-4E67-96BE-8F27FA066679}"/>
                </c:ext>
              </c:extLst>
            </c:dLbl>
            <c:dLbl>
              <c:idx val="2"/>
              <c:layout>
                <c:manualLayout>
                  <c:x val="-5.2097331583552002E-2"/>
                  <c:y val="6.7164260717410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30-4E67-96BE-8F27FA066679}"/>
                </c:ext>
              </c:extLst>
            </c:dLbl>
            <c:dLbl>
              <c:idx val="3"/>
              <c:layout>
                <c:manualLayout>
                  <c:x val="-4.9392701965270513E-2"/>
                  <c:y val="4.995904687935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26-4865-9A24-5CE39DF1E46C}"/>
                </c:ext>
              </c:extLst>
            </c:dLbl>
            <c:dLbl>
              <c:idx val="4"/>
              <c:layout>
                <c:manualLayout>
                  <c:x val="-5.2097331583552155E-2"/>
                  <c:y val="8.56827792359288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30-4E67-96BE-8F27FA0666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ρευστότητα!$M$4:$Q$4</c:f>
              <c:numCache>
                <c:formatCode>General</c:formatCode>
                <c:ptCount val="5"/>
                <c:pt idx="0">
                  <c:v>2020</c:v>
                </c:pt>
                <c:pt idx="1">
                  <c:v>2021</c:v>
                </c:pt>
                <c:pt idx="2">
                  <c:v>2022</c:v>
                </c:pt>
                <c:pt idx="3">
                  <c:v>2023</c:v>
                </c:pt>
                <c:pt idx="4">
                  <c:v>2024</c:v>
                </c:pt>
              </c:numCache>
            </c:numRef>
          </c:cat>
          <c:val>
            <c:numRef>
              <c:f>ρευστότητα!$L$7:$Q$7</c:f>
              <c:numCache>
                <c:formatCode>0.000</c:formatCode>
                <c:ptCount val="6"/>
                <c:pt idx="1">
                  <c:v>0.17804670774158754</c:v>
                </c:pt>
                <c:pt idx="2">
                  <c:v>0.15395705311318761</c:v>
                </c:pt>
                <c:pt idx="3">
                  <c:v>0.13438436628659128</c:v>
                </c:pt>
                <c:pt idx="4">
                  <c:v>0.15401477692666585</c:v>
                </c:pt>
                <c:pt idx="5">
                  <c:v>0.10406288358438118</c:v>
                </c:pt>
              </c:numCache>
            </c:numRef>
          </c:val>
          <c:smooth val="0"/>
          <c:extLst>
            <c:ext xmlns:c16="http://schemas.microsoft.com/office/drawing/2014/chart" uri="{C3380CC4-5D6E-409C-BE32-E72D297353CC}">
              <c16:uniqueId val="{00000000-FD18-4A02-9341-BF93F8503364}"/>
            </c:ext>
          </c:extLst>
        </c:ser>
        <c:ser>
          <c:idx val="1"/>
          <c:order val="1"/>
          <c:tx>
            <c:strRef>
              <c:f>ρευστότητα!$K$23</c:f>
              <c:strCache>
                <c:ptCount val="1"/>
                <c:pt idx="0">
                  <c:v>Ταμειακή ρευστότητα (Σκλαβενίτης)</c:v>
                </c:pt>
              </c:strCache>
            </c:strRef>
          </c:tx>
          <c:spPr>
            <a:ln w="28575" cap="rnd">
              <a:solidFill>
                <a:schemeClr val="accent2"/>
              </a:solidFill>
              <a:round/>
            </a:ln>
            <a:effectLst/>
          </c:spPr>
          <c:marker>
            <c:symbol val="none"/>
          </c:marker>
          <c:dLbls>
            <c:dLbl>
              <c:idx val="3"/>
              <c:layout>
                <c:manualLayout>
                  <c:x val="-4.6757373162350985E-2"/>
                  <c:y val="-0.123698593236376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26-4865-9A24-5CE39DF1E4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ρευστότητα!$M$4:$Q$4</c:f>
              <c:numCache>
                <c:formatCode>General</c:formatCode>
                <c:ptCount val="5"/>
                <c:pt idx="0">
                  <c:v>2020</c:v>
                </c:pt>
                <c:pt idx="1">
                  <c:v>2021</c:v>
                </c:pt>
                <c:pt idx="2">
                  <c:v>2022</c:v>
                </c:pt>
                <c:pt idx="3">
                  <c:v>2023</c:v>
                </c:pt>
                <c:pt idx="4">
                  <c:v>2024</c:v>
                </c:pt>
              </c:numCache>
            </c:numRef>
          </c:cat>
          <c:val>
            <c:numRef>
              <c:f>ρευστότητα!$L$23:$Q$23</c:f>
              <c:numCache>
                <c:formatCode>0.000</c:formatCode>
                <c:ptCount val="6"/>
                <c:pt idx="1">
                  <c:v>0.20432154468946098</c:v>
                </c:pt>
                <c:pt idx="2">
                  <c:v>0.18579280174184123</c:v>
                </c:pt>
                <c:pt idx="3">
                  <c:v>0.14041625139569838</c:v>
                </c:pt>
                <c:pt idx="4">
                  <c:v>0.19654379356464585</c:v>
                </c:pt>
                <c:pt idx="5">
                  <c:v>0.17761691562379098</c:v>
                </c:pt>
              </c:numCache>
            </c:numRef>
          </c:val>
          <c:smooth val="0"/>
          <c:extLst>
            <c:ext xmlns:c16="http://schemas.microsoft.com/office/drawing/2014/chart" uri="{C3380CC4-5D6E-409C-BE32-E72D297353CC}">
              <c16:uniqueId val="{00000001-FD18-4A02-9341-BF93F8503364}"/>
            </c:ext>
          </c:extLst>
        </c:ser>
        <c:dLbls>
          <c:dLblPos val="t"/>
          <c:showLegendKey val="0"/>
          <c:showVal val="1"/>
          <c:showCatName val="0"/>
          <c:showSerName val="0"/>
          <c:showPercent val="0"/>
          <c:showBubbleSize val="0"/>
        </c:dLbls>
        <c:smooth val="0"/>
        <c:axId val="733887392"/>
        <c:axId val="733893152"/>
      </c:lineChart>
      <c:catAx>
        <c:axId val="73388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93152"/>
        <c:crosses val="autoZero"/>
        <c:auto val="1"/>
        <c:lblAlgn val="ctr"/>
        <c:lblOffset val="100"/>
        <c:noMultiLvlLbl val="0"/>
      </c:catAx>
      <c:valAx>
        <c:axId val="73389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8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Κεφάλαιο</a:t>
            </a:r>
            <a:r>
              <a:rPr lang="el-GR" baseline="0"/>
              <a:t> Κίνησης</a:t>
            </a:r>
            <a:endParaRPr lang="el-G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l-GR"/>
        </a:p>
      </c:txPr>
    </c:title>
    <c:autoTitleDeleted val="0"/>
    <c:plotArea>
      <c:layout/>
      <c:lineChart>
        <c:grouping val="standard"/>
        <c:varyColors val="0"/>
        <c:ser>
          <c:idx val="0"/>
          <c:order val="0"/>
          <c:tx>
            <c:strRef>
              <c:f>ρευστότητα!$K$8</c:f>
              <c:strCache>
                <c:ptCount val="1"/>
                <c:pt idx="0">
                  <c:v>Κεφάλαιο Κίνησης(Μασούτης)</c:v>
                </c:pt>
              </c:strCache>
            </c:strRef>
          </c:tx>
          <c:spPr>
            <a:ln w="28575" cap="rnd">
              <a:solidFill>
                <a:schemeClr val="accent1"/>
              </a:solidFill>
              <a:round/>
            </a:ln>
            <a:effectLst/>
          </c:spPr>
          <c:marker>
            <c:symbol val="none"/>
          </c:marker>
          <c:dLbls>
            <c:dLbl>
              <c:idx val="1"/>
              <c:layout>
                <c:manualLayout>
                  <c:x val="-4.4624926574799517E-17"/>
                  <c:y val="6.58978469218959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97-45E0-B32A-DD7D66E3C772}"/>
                </c:ext>
              </c:extLst>
            </c:dLbl>
            <c:dLbl>
              <c:idx val="2"/>
              <c:layout>
                <c:manualLayout>
                  <c:x val="-8.9249853149599035E-17"/>
                  <c:y val="5.7111467332309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97-45E0-B32A-DD7D66E3C772}"/>
                </c:ext>
              </c:extLst>
            </c:dLbl>
            <c:dLbl>
              <c:idx val="3"/>
              <c:layout>
                <c:manualLayout>
                  <c:x val="2.4341150228595091E-3"/>
                  <c:y val="5.2718277537516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97-45E0-B32A-DD7D66E3C772}"/>
                </c:ext>
              </c:extLst>
            </c:dLbl>
            <c:dLbl>
              <c:idx val="4"/>
              <c:layout>
                <c:manualLayout>
                  <c:x val="-2.6775265251455758E-2"/>
                  <c:y val="0.105436555075033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97-45E0-B32A-DD7D66E3C7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ρευστότητα!$M$20:$Q$20</c:f>
              <c:numCache>
                <c:formatCode>General</c:formatCode>
                <c:ptCount val="5"/>
                <c:pt idx="0">
                  <c:v>2020</c:v>
                </c:pt>
                <c:pt idx="1">
                  <c:v>2021</c:v>
                </c:pt>
                <c:pt idx="2">
                  <c:v>2022</c:v>
                </c:pt>
                <c:pt idx="3">
                  <c:v>2023</c:v>
                </c:pt>
                <c:pt idx="4">
                  <c:v>2024</c:v>
                </c:pt>
              </c:numCache>
            </c:numRef>
          </c:cat>
          <c:val>
            <c:numRef>
              <c:f>ρευστότητα!$L$8:$Q$8</c:f>
              <c:numCache>
                <c:formatCode>#,##0</c:formatCode>
                <c:ptCount val="6"/>
                <c:pt idx="1">
                  <c:v>-175006</c:v>
                </c:pt>
                <c:pt idx="2">
                  <c:v>-150350</c:v>
                </c:pt>
                <c:pt idx="3">
                  <c:v>-145149</c:v>
                </c:pt>
                <c:pt idx="4">
                  <c:v>-142304</c:v>
                </c:pt>
                <c:pt idx="5">
                  <c:v>-220450</c:v>
                </c:pt>
              </c:numCache>
            </c:numRef>
          </c:val>
          <c:smooth val="0"/>
          <c:extLst>
            <c:ext xmlns:c16="http://schemas.microsoft.com/office/drawing/2014/chart" uri="{C3380CC4-5D6E-409C-BE32-E72D297353CC}">
              <c16:uniqueId val="{00000000-C497-45E0-B32A-DD7D66E3C772}"/>
            </c:ext>
          </c:extLst>
        </c:ser>
        <c:ser>
          <c:idx val="1"/>
          <c:order val="1"/>
          <c:tx>
            <c:strRef>
              <c:f>ρευστότητα!$K$24</c:f>
              <c:strCache>
                <c:ptCount val="1"/>
                <c:pt idx="0">
                  <c:v>Κεφάλαιο Κίνησης (Σκλαβενίτης)</c:v>
                </c:pt>
              </c:strCache>
            </c:strRef>
          </c:tx>
          <c:spPr>
            <a:ln w="28575" cap="rnd">
              <a:solidFill>
                <a:schemeClr val="accent2"/>
              </a:solidFill>
              <a:round/>
            </a:ln>
            <a:effectLst/>
          </c:spPr>
          <c:marker>
            <c:symbol val="none"/>
          </c:marker>
          <c:dLbls>
            <c:dLbl>
              <c:idx val="1"/>
              <c:layout>
                <c:manualLayout>
                  <c:x val="4.8682300457191519E-3"/>
                  <c:y val="-5.27182775375168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97-45E0-B32A-DD7D66E3C772}"/>
                </c:ext>
              </c:extLst>
            </c:dLbl>
            <c:dLbl>
              <c:idx val="2"/>
              <c:layout>
                <c:manualLayout>
                  <c:x val="2.4341150228595091E-3"/>
                  <c:y val="-7.029103671668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97-45E0-B32A-DD7D66E3C772}"/>
                </c:ext>
              </c:extLst>
            </c:dLbl>
            <c:dLbl>
              <c:idx val="3"/>
              <c:layout>
                <c:manualLayout>
                  <c:x val="-2.4341150228596874E-3"/>
                  <c:y val="-7.02910367166891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97-45E0-B32A-DD7D66E3C772}"/>
                </c:ext>
              </c:extLst>
            </c:dLbl>
            <c:dLbl>
              <c:idx val="4"/>
              <c:layout>
                <c:manualLayout>
                  <c:x val="-1.7849970629919807E-16"/>
                  <c:y val="-4.3931897947930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97-45E0-B32A-DD7D66E3C7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l-G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ρευστότητα!$M$20:$Q$20</c:f>
              <c:numCache>
                <c:formatCode>General</c:formatCode>
                <c:ptCount val="5"/>
                <c:pt idx="0">
                  <c:v>2020</c:v>
                </c:pt>
                <c:pt idx="1">
                  <c:v>2021</c:v>
                </c:pt>
                <c:pt idx="2">
                  <c:v>2022</c:v>
                </c:pt>
                <c:pt idx="3">
                  <c:v>2023</c:v>
                </c:pt>
                <c:pt idx="4">
                  <c:v>2024</c:v>
                </c:pt>
              </c:numCache>
            </c:numRef>
          </c:cat>
          <c:val>
            <c:numRef>
              <c:f>ρευστότητα!$L$24:$Q$24</c:f>
              <c:numCache>
                <c:formatCode>#,##0</c:formatCode>
                <c:ptCount val="6"/>
                <c:pt idx="1">
                  <c:v>-648356</c:v>
                </c:pt>
                <c:pt idx="2">
                  <c:v>-664435</c:v>
                </c:pt>
                <c:pt idx="3">
                  <c:v>-669851</c:v>
                </c:pt>
                <c:pt idx="4">
                  <c:v>-645861</c:v>
                </c:pt>
                <c:pt idx="5">
                  <c:v>-706693</c:v>
                </c:pt>
              </c:numCache>
            </c:numRef>
          </c:val>
          <c:smooth val="0"/>
          <c:extLst>
            <c:ext xmlns:c16="http://schemas.microsoft.com/office/drawing/2014/chart" uri="{C3380CC4-5D6E-409C-BE32-E72D297353CC}">
              <c16:uniqueId val="{00000001-C497-45E0-B32A-DD7D66E3C772}"/>
            </c:ext>
          </c:extLst>
        </c:ser>
        <c:dLbls>
          <c:showLegendKey val="0"/>
          <c:showVal val="0"/>
          <c:showCatName val="0"/>
          <c:showSerName val="0"/>
          <c:showPercent val="0"/>
          <c:showBubbleSize val="0"/>
        </c:dLbls>
        <c:smooth val="0"/>
        <c:axId val="400102848"/>
        <c:axId val="400098528"/>
      </c:lineChart>
      <c:catAx>
        <c:axId val="40010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400098528"/>
        <c:crosses val="autoZero"/>
        <c:auto val="1"/>
        <c:lblAlgn val="ctr"/>
        <c:lblOffset val="100"/>
        <c:noMultiLvlLbl val="0"/>
      </c:catAx>
      <c:valAx>
        <c:axId val="40009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crossAx val="400102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l-G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l-G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34636</xdr:colOff>
      <xdr:row>2</xdr:row>
      <xdr:rowOff>83473</xdr:rowOff>
    </xdr:from>
    <xdr:to>
      <xdr:col>9</xdr:col>
      <xdr:colOff>1290204</xdr:colOff>
      <xdr:row>7</xdr:row>
      <xdr:rowOff>225136</xdr:rowOff>
    </xdr:to>
    <xdr:sp macro="" textlink="">
      <xdr:nvSpPr>
        <xdr:cNvPr id="2" name="TextBox 1">
          <a:extLst>
            <a:ext uri="{FF2B5EF4-FFF2-40B4-BE49-F238E27FC236}">
              <a16:creationId xmlns:a16="http://schemas.microsoft.com/office/drawing/2014/main" id="{1C0B3B22-DACA-440C-8A9D-C08E779A3FF7}"/>
            </a:ext>
          </a:extLst>
        </xdr:cNvPr>
        <xdr:cNvSpPr txBox="1"/>
      </xdr:nvSpPr>
      <xdr:spPr>
        <a:xfrm>
          <a:off x="7083136" y="4055398"/>
          <a:ext cx="1255568" cy="1494213"/>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t>Τι βαθμό ρευστότητας παρουσιάζει η εταιρεία; Θα είναι συνεπής στις υποχρεώσεις της πριν αυτές λήξουν;</a:t>
          </a:r>
        </a:p>
      </xdr:txBody>
    </xdr:sp>
    <xdr:clientData/>
  </xdr:twoCellAnchor>
  <xdr:twoCellAnchor>
    <xdr:from>
      <xdr:col>9</xdr:col>
      <xdr:colOff>34636</xdr:colOff>
      <xdr:row>18</xdr:row>
      <xdr:rowOff>83473</xdr:rowOff>
    </xdr:from>
    <xdr:to>
      <xdr:col>9</xdr:col>
      <xdr:colOff>1290204</xdr:colOff>
      <xdr:row>23</xdr:row>
      <xdr:rowOff>225136</xdr:rowOff>
    </xdr:to>
    <xdr:sp macro="" textlink="">
      <xdr:nvSpPr>
        <xdr:cNvPr id="3" name="TextBox 2">
          <a:extLst>
            <a:ext uri="{FF2B5EF4-FFF2-40B4-BE49-F238E27FC236}">
              <a16:creationId xmlns:a16="http://schemas.microsoft.com/office/drawing/2014/main" id="{6C7513A7-A21E-4D51-BF94-9FCB06522D1F}"/>
            </a:ext>
          </a:extLst>
        </xdr:cNvPr>
        <xdr:cNvSpPr txBox="1"/>
      </xdr:nvSpPr>
      <xdr:spPr>
        <a:xfrm>
          <a:off x="7387936" y="4015393"/>
          <a:ext cx="1255568" cy="1505643"/>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t>Τι βαθμό ρευστότητας παρουσιάζει η εταιρεία; Θα είναι συνεπής στις υποχρεώσεις της πριν αυτές λήξουν;</a:t>
          </a:r>
        </a:p>
      </xdr:txBody>
    </xdr:sp>
    <xdr:clientData/>
  </xdr:twoCellAnchor>
  <xdr:twoCellAnchor>
    <xdr:from>
      <xdr:col>5</xdr:col>
      <xdr:colOff>44822</xdr:colOff>
      <xdr:row>31</xdr:row>
      <xdr:rowOff>16529</xdr:rowOff>
    </xdr:from>
    <xdr:to>
      <xdr:col>10</xdr:col>
      <xdr:colOff>1113692</xdr:colOff>
      <xdr:row>45</xdr:row>
      <xdr:rowOff>14653</xdr:rowOff>
    </xdr:to>
    <xdr:graphicFrame macro="">
      <xdr:nvGraphicFramePr>
        <xdr:cNvPr id="114" name="Γράφημα 15">
          <a:extLst>
            <a:ext uri="{FF2B5EF4-FFF2-40B4-BE49-F238E27FC236}">
              <a16:creationId xmlns:a16="http://schemas.microsoft.com/office/drawing/2014/main" id="{54F92986-C0A0-A5D6-D0C8-F2CBCE32F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84045</xdr:colOff>
      <xdr:row>31</xdr:row>
      <xdr:rowOff>11205</xdr:rowOff>
    </xdr:from>
    <xdr:to>
      <xdr:col>4</xdr:col>
      <xdr:colOff>514350</xdr:colOff>
      <xdr:row>45</xdr:row>
      <xdr:rowOff>28575</xdr:rowOff>
    </xdr:to>
    <xdr:graphicFrame macro="">
      <xdr:nvGraphicFramePr>
        <xdr:cNvPr id="159" name="Chart 23">
          <a:extLst>
            <a:ext uri="{FF2B5EF4-FFF2-40B4-BE49-F238E27FC236}">
              <a16:creationId xmlns:a16="http://schemas.microsoft.com/office/drawing/2014/main" id="{3588A902-1843-1ED8-53E0-AAD689DFA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84043</xdr:colOff>
      <xdr:row>31</xdr:row>
      <xdr:rowOff>17928</xdr:rowOff>
    </xdr:from>
    <xdr:to>
      <xdr:col>15</xdr:col>
      <xdr:colOff>14654</xdr:colOff>
      <xdr:row>44</xdr:row>
      <xdr:rowOff>168519</xdr:rowOff>
    </xdr:to>
    <xdr:graphicFrame macro="">
      <xdr:nvGraphicFramePr>
        <xdr:cNvPr id="195" name="Chart 27">
          <a:extLst>
            <a:ext uri="{FF2B5EF4-FFF2-40B4-BE49-F238E27FC236}">
              <a16:creationId xmlns:a16="http://schemas.microsoft.com/office/drawing/2014/main" id="{75F1CDE2-D05F-6BC4-60EE-DC0B52C4E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590549</xdr:colOff>
      <xdr:row>31</xdr:row>
      <xdr:rowOff>33336</xdr:rowOff>
    </xdr:from>
    <xdr:to>
      <xdr:col>22</xdr:col>
      <xdr:colOff>256441</xdr:colOff>
      <xdr:row>44</xdr:row>
      <xdr:rowOff>161192</xdr:rowOff>
    </xdr:to>
    <xdr:graphicFrame macro="">
      <xdr:nvGraphicFramePr>
        <xdr:cNvPr id="196" name="Γράφημα 195">
          <a:extLst>
            <a:ext uri="{FF2B5EF4-FFF2-40B4-BE49-F238E27FC236}">
              <a16:creationId xmlns:a16="http://schemas.microsoft.com/office/drawing/2014/main" id="{DD87CFF5-50C3-4AAD-1EEB-7D815ABF5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34636</xdr:colOff>
      <xdr:row>18</xdr:row>
      <xdr:rowOff>83473</xdr:rowOff>
    </xdr:from>
    <xdr:to>
      <xdr:col>9</xdr:col>
      <xdr:colOff>1290204</xdr:colOff>
      <xdr:row>23</xdr:row>
      <xdr:rowOff>225136</xdr:rowOff>
    </xdr:to>
    <xdr:sp macro="" textlink="">
      <xdr:nvSpPr>
        <xdr:cNvPr id="2" name="TextBox 1">
          <a:extLst>
            <a:ext uri="{FF2B5EF4-FFF2-40B4-BE49-F238E27FC236}">
              <a16:creationId xmlns:a16="http://schemas.microsoft.com/office/drawing/2014/main" id="{51DAAAEF-3F10-442E-A59C-06AD564B6DAE}"/>
            </a:ext>
          </a:extLst>
        </xdr:cNvPr>
        <xdr:cNvSpPr txBox="1"/>
      </xdr:nvSpPr>
      <xdr:spPr>
        <a:xfrm>
          <a:off x="7288876" y="4015393"/>
          <a:ext cx="1255568" cy="1505643"/>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t>Τι βαθμό ρευστότητας παρουσιάζει η εταιρεία; Θα είναι συνεπής στις υποχρεώσεις της πριν αυτές λήξουν;</a:t>
          </a:r>
        </a:p>
      </xdr:txBody>
    </xdr:sp>
    <xdr:clientData/>
  </xdr:twoCellAnchor>
  <xdr:twoCellAnchor>
    <xdr:from>
      <xdr:col>9</xdr:col>
      <xdr:colOff>34636</xdr:colOff>
      <xdr:row>49</xdr:row>
      <xdr:rowOff>83473</xdr:rowOff>
    </xdr:from>
    <xdr:to>
      <xdr:col>9</xdr:col>
      <xdr:colOff>1290204</xdr:colOff>
      <xdr:row>54</xdr:row>
      <xdr:rowOff>225136</xdr:rowOff>
    </xdr:to>
    <xdr:sp macro="" textlink="">
      <xdr:nvSpPr>
        <xdr:cNvPr id="3" name="TextBox 2">
          <a:extLst>
            <a:ext uri="{FF2B5EF4-FFF2-40B4-BE49-F238E27FC236}">
              <a16:creationId xmlns:a16="http://schemas.microsoft.com/office/drawing/2014/main" id="{4FB242E3-B6BE-4618-959D-7FD2CD335AE0}"/>
            </a:ext>
          </a:extLst>
        </xdr:cNvPr>
        <xdr:cNvSpPr txBox="1"/>
      </xdr:nvSpPr>
      <xdr:spPr>
        <a:xfrm>
          <a:off x="7387936" y="3672493"/>
          <a:ext cx="1255568" cy="1238943"/>
        </a:xfrm>
        <a:prstGeom prst="rect">
          <a:avLst/>
        </a:prstGeom>
        <a:solidFill>
          <a:schemeClr val="lt1"/>
        </a:solidFill>
        <a:ln w="381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t>Τι βαθμό ρευστότητας παρουσιάζει η εταιρεία; Θα είναι συνεπής στις υποχρεώσεις της πριν αυτές λήξουν;</a:t>
          </a:r>
        </a:p>
      </xdr:txBody>
    </xdr:sp>
    <xdr:clientData/>
  </xdr:twoCellAnchor>
</xdr:wsDr>
</file>

<file path=xl/persons/person.xml><?xml version="1.0" encoding="utf-8"?>
<personList xmlns="http://schemas.microsoft.com/office/spreadsheetml/2018/threadedcomments" xmlns:x="http://schemas.openxmlformats.org/spreadsheetml/2006/main">
  <person displayName="LA" id="{48E3D60A-4E4C-4B8C-9F65-398B3BC38D3E}" userId="LA" providerId="None"/>
</personList>
</file>

<file path=xl/theme/theme1.xml><?xml version="1.0" encoding="utf-8"?>
<a:theme xmlns:a="http://schemas.openxmlformats.org/drawingml/2006/main" name="Θέμα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5" dT="2023-11-13T07:45:50.71" personId="{48E3D60A-4E4C-4B8C-9F65-398B3BC38D3E}" id="{B032B91E-483A-465F-B77E-A7AD758DD168}">
    <text xml:space="preserve">Σημειώνεται αύξηση των απαιτήσεων της εταιρείας κατά πελατών κατά 85 εκατομμύρια από το 2018 στο 2022 (ποσοστό 23,28%). Δεδομένου ότι το ποσοστό αύξησης του κύκλου εργασιών 14,56% για την ίδια χρονική περίοδο (από 5.150 εκ € σε 5.900 εκ €) είναι μικρότερο του ποσοστού αύξησης των απαιτήσεων κατά πελατών, συνεπάγεται ότι έχει αυξηθεί η μέση διάρκεια των χορηγούμενων προς τους πελάτες πιστώσεων.
</text>
  </threadedComment>
  <threadedComment ref="G8" dT="2023-11-13T07:42:45.88" personId="{48E3D60A-4E4C-4B8C-9F65-398B3BC38D3E}" id="{DBC2F88C-38CE-4003-A8F6-0EE8C1B8E933}">
    <text>Οι βραχυπρόθεσμες υποχρεώσεις αυξήθηκαν συνολικά κατά 165 εκατομμύρια (σε ποσοστό 32,03%) από το 2018 στο 2022. Η αύξηση υποχρεώσεων από συναλλαγές είναι φυσιολογική και οφείλεται στην αύξηση του κύκλου εργασιών της επιχείρησης. Συνεπεία των αυξήσεων αυτών, η αναλογία των βραχυπρόθεσμων επί της συνολικής αξίας του παθητικού αυξήθηκε από 30,56% (2018) σε 39,42% (2022).</text>
  </threadedComment>
  <threadedComment ref="G19" dT="2023-11-13T07:45:50.71" personId="{48E3D60A-4E4C-4B8C-9F65-398B3BC38D3E}" id="{4573FCF2-66C6-4F83-82BD-16E4CA6C58FE}">
    <text xml:space="preserve">Σημειώνεται αύξηση των απαιτήσεων της εταιρείας κατά πελατών κατά 85 εκατομμύρια από το 2018 στο 2022 (ποσοστό 23,28%). Δεδομένου ότι το ποσοστό αύξησης του κύκλου εργασιών 14,56% για την ίδια χρονική περίοδο (από 5.150 εκ € σε 5.900 εκ €) είναι μικρότερο του ποσοστού αύξησης των απαιτήσεων κατά πελατών, συνεπάγεται ότι έχει αυξηθεί η μέση διάρκεια των χορηγούμενων προς τους πελάτες πιστώσεων.
</text>
  </threadedComment>
  <threadedComment ref="G22" dT="2023-11-13T07:42:45.88" personId="{48E3D60A-4E4C-4B8C-9F65-398B3BC38D3E}" id="{53F152CE-540D-44A6-A003-03BEEDC379A6}">
    <text>Οι βραχυπρόθεσμες υποχρεώσεις αυξήθηκαν συνολικά κατά 165 εκατομμύρια (σε ποσοστό 32,03%) από το 2018 στο 2022. Η αύξηση υποχρεώσεων από συναλλαγές είναι φυσιολογική και οφείλεται στην αύξηση του κύκλου εργασιών της επιχείρησης. Συνεπεία των αυξήσεων αυτών, η αναλογία των βραχυπρόθεσμων επί της συνολικής αξίας του παθητικού αυξήθηκε από 30,56% (2018) σε 39,42% (2022).</text>
  </threadedComment>
  <threadedComment ref="G23" dT="2023-11-13T07:40:53.22" personId="{48E3D60A-4E4C-4B8C-9F65-398B3BC38D3E}" id="{AB1BB4E8-FFE8-429E-8E74-30A54F9D0CD5}">
    <text>Οι μακροπρόθεσμες υποχρεώσεις μειώθηκαν κατά 95 εκατομμύρια (σε ποσοστό κατά 15,57%), (εξαιτίας της εξόφλησης τμήματος του μακροπρόθεσμου δανείου κατά 95 εκατομμύρια). Έτσι η αναλογία τους επί της συνολικής αξίας του παθητικού μειώθηκε από 36,20% (2018) σε 29,85% (2022).</text>
  </threadedComment>
</ThreadedComments>
</file>

<file path=xl/threadedComments/threadedComment2.xml><?xml version="1.0" encoding="utf-8"?>
<ThreadedComments xmlns="http://schemas.microsoft.com/office/spreadsheetml/2018/threadedcomments" xmlns:x="http://schemas.openxmlformats.org/spreadsheetml/2006/main">
  <threadedComment ref="G28" dT="2025-11-03T09:49:56.35" personId="{48E3D60A-4E4C-4B8C-9F65-398B3BC38D3E}" id="{79C0B515-FA0C-4948-9A2D-8C83C4A489D4}">
    <text xml:space="preserve">Η σημαντική μείωση των αποθεμάτων κατά 119 εκατομμύρια (σε ποσοστό 24,79% σε σχέση με το έτος 2018), οφείλεται στη συνεχή αύξηση των πωλήσεων (απορροφόνται τα υψηλά αποθέματα έτοιμων προϊόντων που υπάρχουν). 
</text>
  </threadedComment>
  <threadedComment ref="G29" dT="2023-11-13T07:45:50.71" personId="{48E3D60A-4E4C-4B8C-9F65-398B3BC38D3E}" id="{B403CB36-DC48-4929-AC0E-B2FA34BC6D41}">
    <text xml:space="preserve">Σημειώνεται αύξηση των απαιτήσεων της εταιρείας κατά πελατών κατά 85 εκατομμύρια από το 2018 στο 2022 (ποσοστό 23,28%). Δεδομένου ότι το ποσοστό αύξησης του κύκλου εργασιών 14,56% για την ίδια χρονική περίοδο (από 5.150 εκ € σε 5.900 εκ €) είναι μικρότερο του ποσοστού αύξησης των απαιτήσεων κατά πελατών, συνεπάγεται ότι έχει αυξηθεί η μέση διάρκεια των χορηγούμενων προς τους πελάτες πιστώσεων.
</text>
  </threadedComment>
  <threadedComment ref="G35" dT="2023-11-13T07:42:45.88" personId="{48E3D60A-4E4C-4B8C-9F65-398B3BC38D3E}" id="{CB650E9B-207D-422C-BE14-8139DF703909}">
    <text>Οι βραχυπρόθεσμες υποχρεώσεις αυξήθηκαν συνολικά κατά 165 εκατομμύρια (σε ποσοστό 32,03%) από το 2018 στο 2022. Η αύξηση υποχρεώσεων από συναλλαγές είναι φυσιολογική και οφείλεται στην αύξηση του κύκλου εργασιών της επιχείρησης. Συνεπεία των αυξήσεων αυτών, η αναλογία των βραχυπρόθεσμων επί της συνολικής αξίας του παθητικού αυξήθηκε από 30,56% (2018) σε 39,42% (2022).</text>
  </threadedComment>
  <threadedComment ref="G36" dT="2023-11-13T07:40:53.22" personId="{48E3D60A-4E4C-4B8C-9F65-398B3BC38D3E}" id="{2F979763-5ED8-486D-8E54-014BD95F306A}">
    <text>Οι μακροπρόθεσμες υποχρεώσεις μειώθηκαν κατά 95 εκατομμύρια (σε ποσοστό κατά 15,57%), (εξαιτίας της εξόφλησης τμήματος του μακροπρόθεσμου δανείου κατά 95 εκατομμύρια). Έτσι η αναλογία τους επί της συνολικής αξίας του παθητικού μειώθηκε από 36,20% (2018) σε 29,85% (2022).</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1DB0-9864-4B3B-8B7D-049B1776077F}">
  <dimension ref="A1:T37"/>
  <sheetViews>
    <sheetView tabSelected="1" zoomScale="70" zoomScaleNormal="70" workbookViewId="0">
      <selection activeCell="AA15" sqref="AA15"/>
    </sheetView>
  </sheetViews>
  <sheetFormatPr defaultRowHeight="15.6" x14ac:dyDescent="0.3"/>
  <cols>
    <col min="1" max="1" width="4.33203125" customWidth="1"/>
    <col min="2" max="2" width="39.6640625" style="2" customWidth="1"/>
    <col min="3" max="3" width="15.44140625" style="2" customWidth="1"/>
    <col min="4" max="4" width="15.88671875" style="2" customWidth="1"/>
    <col min="5" max="5" width="15.44140625" style="2" customWidth="1"/>
    <col min="6" max="6" width="15.88671875" style="2" customWidth="1"/>
    <col min="7" max="7" width="15.5546875" style="2" customWidth="1"/>
    <col min="8" max="8" width="3.44140625" style="2" customWidth="1"/>
    <col min="9" max="9" width="5.6640625" customWidth="1"/>
    <col min="10" max="10" width="19.88671875" customWidth="1"/>
    <col min="11" max="11" width="30.5546875" customWidth="1"/>
    <col min="12" max="12" width="41" customWidth="1"/>
    <col min="13" max="13" width="11.109375" customWidth="1"/>
    <col min="14" max="14" width="10.88671875" customWidth="1"/>
    <col min="15" max="15" width="11.5546875" customWidth="1"/>
    <col min="16" max="16" width="11" customWidth="1"/>
    <col min="17" max="17" width="11.88671875" customWidth="1"/>
    <col min="18" max="18" width="14.6640625" customWidth="1"/>
    <col min="19" max="19" width="14.44140625" customWidth="1"/>
    <col min="20" max="20" width="12.6640625" customWidth="1"/>
  </cols>
  <sheetData>
    <row r="1" spans="2:18" ht="19.95" customHeight="1" x14ac:dyDescent="0.3">
      <c r="B1" s="13" t="s">
        <v>59</v>
      </c>
      <c r="J1" s="7" t="s">
        <v>16</v>
      </c>
    </row>
    <row r="2" spans="2:18" ht="18" customHeight="1" x14ac:dyDescent="0.3">
      <c r="B2"/>
      <c r="C2"/>
      <c r="D2"/>
      <c r="E2"/>
      <c r="F2"/>
      <c r="G2"/>
      <c r="K2" s="15"/>
      <c r="L2" s="16"/>
      <c r="M2" s="16"/>
      <c r="N2" s="16"/>
      <c r="O2" s="16"/>
      <c r="P2" s="16"/>
      <c r="Q2" s="16"/>
      <c r="R2" s="78" t="s">
        <v>18</v>
      </c>
    </row>
    <row r="3" spans="2:18" ht="20.399999999999999" customHeight="1" x14ac:dyDescent="0.3">
      <c r="B3" s="3" t="s">
        <v>32</v>
      </c>
      <c r="C3" s="4"/>
      <c r="D3" s="4"/>
      <c r="E3" s="4"/>
      <c r="F3" s="4"/>
      <c r="G3" s="4"/>
      <c r="K3" s="17"/>
      <c r="M3" s="18"/>
      <c r="R3" s="79"/>
    </row>
    <row r="4" spans="2:18" ht="17.399999999999999" customHeight="1" x14ac:dyDescent="0.3">
      <c r="B4" s="5" t="s">
        <v>7</v>
      </c>
      <c r="C4" s="6">
        <v>2020</v>
      </c>
      <c r="D4" s="6">
        <v>2021</v>
      </c>
      <c r="E4" s="6">
        <v>2022</v>
      </c>
      <c r="F4" s="6">
        <v>2023</v>
      </c>
      <c r="G4" s="6">
        <v>2024</v>
      </c>
      <c r="K4" s="17" t="s">
        <v>21</v>
      </c>
      <c r="L4" s="19"/>
      <c r="M4" s="45">
        <v>2020</v>
      </c>
      <c r="N4" s="45">
        <v>2021</v>
      </c>
      <c r="O4" s="45">
        <v>2022</v>
      </c>
      <c r="P4" s="45">
        <v>2023</v>
      </c>
      <c r="Q4" s="45">
        <v>2024</v>
      </c>
      <c r="R4" s="80"/>
    </row>
    <row r="5" spans="2:18" ht="24" customHeight="1" x14ac:dyDescent="0.3">
      <c r="B5" s="73" t="s">
        <v>42</v>
      </c>
      <c r="C5" s="74">
        <v>15489</v>
      </c>
      <c r="D5" s="74">
        <v>15130</v>
      </c>
      <c r="E5" s="74">
        <v>20719</v>
      </c>
      <c r="F5" s="74">
        <v>21974</v>
      </c>
      <c r="G5" s="74">
        <v>16834</v>
      </c>
      <c r="K5" s="15" t="s">
        <v>52</v>
      </c>
      <c r="L5" s="20"/>
      <c r="M5" s="36">
        <f>C7/C8</f>
        <v>0.52331846137922389</v>
      </c>
      <c r="N5" s="36">
        <f>D7/D8</f>
        <v>0.55215255706443223</v>
      </c>
      <c r="O5" s="36">
        <f>E7/E8</f>
        <v>0.61122226775626964</v>
      </c>
      <c r="P5" s="36">
        <f>F7/F8</f>
        <v>0.64871103036107935</v>
      </c>
      <c r="Q5" s="36">
        <f>G7/G8</f>
        <v>0.53505882154441886</v>
      </c>
      <c r="R5" s="36">
        <f>(M5+N5+O5+P5+Q5)/5</f>
        <v>0.57409262762108493</v>
      </c>
    </row>
    <row r="6" spans="2:18" ht="21.6" customHeight="1" x14ac:dyDescent="0.3">
      <c r="B6" s="73" t="s">
        <v>43</v>
      </c>
      <c r="C6" s="74">
        <v>65367</v>
      </c>
      <c r="D6" s="74">
        <v>51686</v>
      </c>
      <c r="E6" s="74">
        <v>50172</v>
      </c>
      <c r="F6" s="74">
        <v>62390</v>
      </c>
      <c r="G6" s="74">
        <v>49341</v>
      </c>
      <c r="K6" s="21" t="s">
        <v>51</v>
      </c>
      <c r="L6" s="35"/>
      <c r="M6" s="36">
        <f>(C5+C6)/C8</f>
        <v>0.22023566327281047</v>
      </c>
      <c r="N6" s="36">
        <f>(D5+D6)/D8</f>
        <v>0.19902477384225403</v>
      </c>
      <c r="O6" s="36">
        <f>(E5+E6)/E8</f>
        <v>0.18987965619115729</v>
      </c>
      <c r="P6" s="36">
        <f>(F5+F6)/F8</f>
        <v>0.20825937875687192</v>
      </c>
      <c r="Q6" s="36">
        <f>(G5+G6)/G8</f>
        <v>0.13956671573734672</v>
      </c>
      <c r="R6" s="36">
        <f t="shared" ref="R6:R8" si="0">(M6+N6+O6+P6+Q6)/5</f>
        <v>0.19139323756008808</v>
      </c>
    </row>
    <row r="7" spans="2:18" ht="24" customHeight="1" x14ac:dyDescent="0.3">
      <c r="B7" s="75" t="s">
        <v>44</v>
      </c>
      <c r="C7" s="74">
        <v>192128</v>
      </c>
      <c r="D7" s="74">
        <v>185367</v>
      </c>
      <c r="E7" s="74">
        <v>228198</v>
      </c>
      <c r="F7" s="74">
        <v>262787</v>
      </c>
      <c r="G7" s="74">
        <v>253696</v>
      </c>
      <c r="K7" s="21" t="s">
        <v>53</v>
      </c>
      <c r="L7" s="35"/>
      <c r="M7" s="36">
        <f>C6/C8</f>
        <v>0.17804670774158754</v>
      </c>
      <c r="N7" s="36">
        <f>D6/D8</f>
        <v>0.15395705311318761</v>
      </c>
      <c r="O7" s="36">
        <f>E6/E8</f>
        <v>0.13438436628659128</v>
      </c>
      <c r="P7" s="36">
        <f>F6/F8</f>
        <v>0.15401477692666585</v>
      </c>
      <c r="Q7" s="36">
        <f>G6/G8</f>
        <v>0.10406288358438118</v>
      </c>
      <c r="R7" s="36">
        <f t="shared" si="0"/>
        <v>0.14489315753048268</v>
      </c>
    </row>
    <row r="8" spans="2:18" ht="27" customHeight="1" x14ac:dyDescent="0.3">
      <c r="B8" s="73" t="s">
        <v>45</v>
      </c>
      <c r="C8" s="74">
        <v>367134</v>
      </c>
      <c r="D8" s="74">
        <v>335717</v>
      </c>
      <c r="E8" s="74">
        <v>373347</v>
      </c>
      <c r="F8" s="74">
        <v>405091</v>
      </c>
      <c r="G8" s="74">
        <v>474146</v>
      </c>
      <c r="H8"/>
      <c r="K8" s="22" t="s">
        <v>54</v>
      </c>
      <c r="L8" s="23"/>
      <c r="M8" s="37">
        <f>C7-C8</f>
        <v>-175006</v>
      </c>
      <c r="N8" s="37">
        <f>D7-D8</f>
        <v>-150350</v>
      </c>
      <c r="O8" s="37">
        <f>E7-E8</f>
        <v>-145149</v>
      </c>
      <c r="P8" s="37">
        <f>F7-F8</f>
        <v>-142304</v>
      </c>
      <c r="Q8" s="37">
        <f>G7-G8</f>
        <v>-220450</v>
      </c>
      <c r="R8" s="36">
        <f t="shared" si="0"/>
        <v>-166651.79999999999</v>
      </c>
    </row>
    <row r="9" spans="2:18" ht="30" customHeight="1" x14ac:dyDescent="0.3">
      <c r="B9" s="13"/>
      <c r="C9" s="14"/>
      <c r="D9" s="14"/>
      <c r="E9" s="14"/>
      <c r="F9" s="14"/>
      <c r="G9" s="14"/>
    </row>
    <row r="10" spans="2:18" ht="20.25" customHeight="1" x14ac:dyDescent="0.3">
      <c r="B10" s="13"/>
      <c r="C10" s="14"/>
      <c r="D10" s="14"/>
      <c r="E10" s="14"/>
      <c r="F10" s="14"/>
      <c r="G10" s="14"/>
      <c r="L10" s="24" t="s">
        <v>33</v>
      </c>
      <c r="M10" s="7" t="s">
        <v>36</v>
      </c>
      <c r="N10" s="7" t="s">
        <v>37</v>
      </c>
      <c r="O10" s="7" t="s">
        <v>48</v>
      </c>
      <c r="P10" s="7" t="s">
        <v>49</v>
      </c>
      <c r="Q10" s="7" t="s">
        <v>50</v>
      </c>
      <c r="R10" s="25"/>
    </row>
    <row r="11" spans="2:18" ht="24" customHeight="1" x14ac:dyDescent="0.3">
      <c r="B11" s="13"/>
      <c r="C11" s="14"/>
      <c r="D11" s="14"/>
      <c r="E11" s="14"/>
      <c r="F11" s="14"/>
      <c r="G11" s="14"/>
      <c r="J11" s="7" t="s">
        <v>40</v>
      </c>
      <c r="K11" s="15" t="s">
        <v>23</v>
      </c>
      <c r="L11" s="27" t="s">
        <v>24</v>
      </c>
      <c r="M11" s="38">
        <f>(N5-M5)/M5</f>
        <v>5.5098563901634742E-2</v>
      </c>
      <c r="N11" s="38">
        <f t="shared" ref="N11:P11" si="1">(O5-N5)/N5</f>
        <v>0.10698077901855013</v>
      </c>
      <c r="O11" s="38">
        <f t="shared" si="1"/>
        <v>6.1334091675728494E-2</v>
      </c>
      <c r="P11" s="38">
        <f t="shared" si="1"/>
        <v>-0.1751969729162775</v>
      </c>
      <c r="Q11" s="40">
        <f>(Q5-M5)/M5</f>
        <v>2.2434446769282416E-2</v>
      </c>
    </row>
    <row r="12" spans="2:18" ht="24" customHeight="1" x14ac:dyDescent="0.3">
      <c r="K12" s="21" t="s">
        <v>26</v>
      </c>
      <c r="L12" s="28" t="s">
        <v>27</v>
      </c>
      <c r="M12" s="38">
        <f>(N6-M6)/M6</f>
        <v>-9.630996685710283E-2</v>
      </c>
      <c r="N12" s="38">
        <f>(O6-N6)/N6</f>
        <v>-4.5949644732896977E-2</v>
      </c>
      <c r="O12" s="38">
        <f t="shared" ref="O12:P12" si="2">(P6-O6)/O6</f>
        <v>9.6796691833122103E-2</v>
      </c>
      <c r="P12" s="38">
        <f t="shared" si="2"/>
        <v>-0.32984187040968282</v>
      </c>
      <c r="Q12" s="40">
        <f>(Q6-M6)/M6</f>
        <v>-0.36628467132290676</v>
      </c>
    </row>
    <row r="13" spans="2:18" ht="24" customHeight="1" x14ac:dyDescent="0.3">
      <c r="H13"/>
      <c r="K13" s="21" t="s">
        <v>28</v>
      </c>
      <c r="L13" s="28" t="s">
        <v>29</v>
      </c>
      <c r="M13" s="38">
        <f>(N7-M7)/M7</f>
        <v>-0.13529963532582159</v>
      </c>
      <c r="N13" s="38">
        <f t="shared" ref="N13:P13" si="3">(O7-N7)/N7</f>
        <v>-0.1271308227250017</v>
      </c>
      <c r="O13" s="38">
        <f t="shared" si="3"/>
        <v>0.14607659493821093</v>
      </c>
      <c r="P13" s="38">
        <f t="shared" si="3"/>
        <v>-0.32433182282287931</v>
      </c>
      <c r="Q13" s="40">
        <f>(Q7-M7)/M7</f>
        <v>-0.41553042510948646</v>
      </c>
    </row>
    <row r="14" spans="2:18" ht="24" customHeight="1" x14ac:dyDescent="0.3">
      <c r="B14" s="26" t="s">
        <v>60</v>
      </c>
      <c r="H14"/>
      <c r="K14" s="22"/>
      <c r="L14" s="23"/>
      <c r="M14" s="39"/>
      <c r="N14" s="39"/>
      <c r="O14" s="39"/>
      <c r="P14" s="39"/>
      <c r="Q14" s="39"/>
    </row>
    <row r="16" spans="2:18" x14ac:dyDescent="0.3">
      <c r="B16" s="42"/>
      <c r="C16" s="58"/>
      <c r="D16" s="58"/>
      <c r="E16" s="58"/>
      <c r="F16" s="58"/>
      <c r="G16" s="58"/>
    </row>
    <row r="17" spans="1:20" x14ac:dyDescent="0.3">
      <c r="B17" s="46" t="s">
        <v>32</v>
      </c>
      <c r="C17" s="47"/>
      <c r="D17" s="47"/>
      <c r="E17" s="47"/>
      <c r="F17" s="47"/>
      <c r="G17" s="47"/>
      <c r="J17" s="50" t="s">
        <v>16</v>
      </c>
    </row>
    <row r="18" spans="1:20" ht="31.2" x14ac:dyDescent="0.3">
      <c r="B18" s="48" t="s">
        <v>7</v>
      </c>
      <c r="C18" s="49">
        <v>2020</v>
      </c>
      <c r="D18" s="49">
        <v>2021</v>
      </c>
      <c r="E18" s="49">
        <v>2022</v>
      </c>
      <c r="F18" s="49">
        <v>2023</v>
      </c>
      <c r="G18" s="49">
        <v>2024</v>
      </c>
      <c r="K18" s="15"/>
      <c r="L18" s="16"/>
      <c r="M18" s="16"/>
      <c r="N18" s="16"/>
      <c r="O18" s="16"/>
      <c r="P18" s="16"/>
      <c r="Q18" s="16"/>
      <c r="R18" s="59" t="s">
        <v>18</v>
      </c>
    </row>
    <row r="19" spans="1:20" x14ac:dyDescent="0.3">
      <c r="B19" s="73" t="s">
        <v>42</v>
      </c>
      <c r="C19" s="76">
        <v>71665</v>
      </c>
      <c r="D19" s="76">
        <v>76435</v>
      </c>
      <c r="E19" s="76">
        <v>92788</v>
      </c>
      <c r="F19" s="76">
        <v>103403</v>
      </c>
      <c r="G19" s="76">
        <v>63762</v>
      </c>
      <c r="K19" s="17"/>
      <c r="M19" s="60"/>
      <c r="R19" s="61"/>
    </row>
    <row r="20" spans="1:20" ht="15.75" customHeight="1" x14ac:dyDescent="0.3">
      <c r="B20" s="73" t="s">
        <v>43</v>
      </c>
      <c r="C20" s="76">
        <v>274875</v>
      </c>
      <c r="D20" s="76">
        <v>258299</v>
      </c>
      <c r="E20" s="76">
        <v>199075</v>
      </c>
      <c r="F20" s="76">
        <v>294491</v>
      </c>
      <c r="G20" s="76">
        <v>272702</v>
      </c>
      <c r="K20" s="17" t="s">
        <v>21</v>
      </c>
      <c r="L20" s="19"/>
      <c r="M20" s="45">
        <v>2020</v>
      </c>
      <c r="N20" s="45">
        <v>2021</v>
      </c>
      <c r="O20" s="45">
        <v>2022</v>
      </c>
      <c r="P20" s="45">
        <v>2023</v>
      </c>
      <c r="Q20" s="45">
        <v>2024</v>
      </c>
      <c r="R20" s="62"/>
    </row>
    <row r="21" spans="1:20" x14ac:dyDescent="0.3">
      <c r="B21" s="75" t="s">
        <v>44</v>
      </c>
      <c r="C21" s="77">
        <f>696950</f>
        <v>696950</v>
      </c>
      <c r="D21" s="77">
        <v>725818</v>
      </c>
      <c r="E21" s="77">
        <v>747898</v>
      </c>
      <c r="F21" s="77">
        <v>852487</v>
      </c>
      <c r="G21" s="77">
        <v>828645</v>
      </c>
      <c r="K21" s="15" t="s">
        <v>57</v>
      </c>
      <c r="L21" s="20"/>
      <c r="M21" s="36">
        <f>C21/C22</f>
        <v>0.51806057506619307</v>
      </c>
      <c r="N21" s="36">
        <f>D21/D22</f>
        <v>0.52207619764172419</v>
      </c>
      <c r="O21" s="36">
        <f>E21/E22</f>
        <v>0.5275249709222154</v>
      </c>
      <c r="P21" s="36">
        <f>F21/F22</f>
        <v>0.56895127166719617</v>
      </c>
      <c r="Q21" s="36">
        <f>G21/G22</f>
        <v>0.53971503343237781</v>
      </c>
      <c r="R21" s="41">
        <f>(M21+N21+O21+P21+Q21)/5</f>
        <v>0.5352656097459414</v>
      </c>
    </row>
    <row r="22" spans="1:20" x14ac:dyDescent="0.3">
      <c r="B22" s="73" t="s">
        <v>45</v>
      </c>
      <c r="C22" s="76">
        <v>1345306</v>
      </c>
      <c r="D22" s="76">
        <v>1390253</v>
      </c>
      <c r="E22" s="76">
        <v>1417749</v>
      </c>
      <c r="F22" s="76">
        <v>1498348</v>
      </c>
      <c r="G22" s="76">
        <v>1535338</v>
      </c>
      <c r="K22" s="21" t="s">
        <v>56</v>
      </c>
      <c r="L22" s="35"/>
      <c r="M22" s="36">
        <f>(C19+C20)/C22</f>
        <v>0.25759195305751997</v>
      </c>
      <c r="N22" s="36">
        <f>(D19+D20)/D22</f>
        <v>0.24077200336917093</v>
      </c>
      <c r="O22" s="36">
        <f>(E19+E20)/E22</f>
        <v>0.20586366133920744</v>
      </c>
      <c r="P22" s="36">
        <f>(F19+F20)/F22</f>
        <v>0.26555513138469833</v>
      </c>
      <c r="Q22" s="36">
        <f>(G19+G20)/G22</f>
        <v>0.2191465332063689</v>
      </c>
      <c r="R22" s="41">
        <f>(M22+N22+O22+P22+Q22)/5</f>
        <v>0.23778585647139314</v>
      </c>
    </row>
    <row r="23" spans="1:20" x14ac:dyDescent="0.3">
      <c r="B23" s="32"/>
      <c r="C23" s="30"/>
      <c r="D23" s="29"/>
      <c r="E23" s="29"/>
      <c r="F23" s="29"/>
      <c r="G23" s="29"/>
      <c r="K23" s="21" t="s">
        <v>55</v>
      </c>
      <c r="L23" s="35"/>
      <c r="M23" s="36">
        <f>C20/C22</f>
        <v>0.20432154468946098</v>
      </c>
      <c r="N23" s="36">
        <f>D20/D22</f>
        <v>0.18579280174184123</v>
      </c>
      <c r="O23" s="36">
        <f>E20/E22</f>
        <v>0.14041625139569838</v>
      </c>
      <c r="P23" s="36">
        <f>F20/F22</f>
        <v>0.19654379356464585</v>
      </c>
      <c r="Q23" s="36">
        <f>G20/G22</f>
        <v>0.17761691562379098</v>
      </c>
      <c r="R23" s="41">
        <f>(M23+N23+O23+P23+Q23)/5</f>
        <v>0.1809382614030875</v>
      </c>
    </row>
    <row r="24" spans="1:20" x14ac:dyDescent="0.3">
      <c r="B24" s="29"/>
      <c r="C24" s="30"/>
      <c r="D24" s="30"/>
      <c r="E24" s="30"/>
      <c r="F24" s="30"/>
      <c r="G24" s="30"/>
      <c r="K24" s="65" t="s">
        <v>58</v>
      </c>
      <c r="L24" s="23"/>
      <c r="M24" s="37">
        <f>C21-C22</f>
        <v>-648356</v>
      </c>
      <c r="N24" s="37">
        <f>D21-D22</f>
        <v>-664435</v>
      </c>
      <c r="O24" s="37">
        <f>E21-E22</f>
        <v>-669851</v>
      </c>
      <c r="P24" s="37">
        <f>F21-F22</f>
        <v>-645861</v>
      </c>
      <c r="Q24" s="37">
        <f>G21-G22</f>
        <v>-706693</v>
      </c>
      <c r="R24" s="41">
        <f>AVERAGE(M24:Q24)</f>
        <v>-667039.19999999995</v>
      </c>
    </row>
    <row r="25" spans="1:20" x14ac:dyDescent="0.3">
      <c r="B25" s="33"/>
      <c r="C25" s="33"/>
      <c r="D25" s="33"/>
      <c r="E25" s="33"/>
      <c r="F25" s="33"/>
      <c r="G25" s="33"/>
    </row>
    <row r="26" spans="1:20" s="2" customFormat="1" x14ac:dyDescent="0.3">
      <c r="A26"/>
      <c r="B26" s="33"/>
      <c r="C26" s="34"/>
      <c r="D26" s="34"/>
      <c r="E26" s="34"/>
      <c r="F26" s="34"/>
      <c r="G26" s="34"/>
      <c r="I26"/>
      <c r="J26"/>
      <c r="K26"/>
      <c r="L26" s="66" t="s">
        <v>33</v>
      </c>
      <c r="M26" s="50" t="s">
        <v>36</v>
      </c>
      <c r="N26" s="50" t="s">
        <v>37</v>
      </c>
      <c r="O26" s="50" t="s">
        <v>48</v>
      </c>
      <c r="P26" s="50" t="s">
        <v>49</v>
      </c>
      <c r="Q26" s="50" t="s">
        <v>50</v>
      </c>
      <c r="S26"/>
      <c r="T26"/>
    </row>
    <row r="27" spans="1:20" s="2" customFormat="1" ht="24" x14ac:dyDescent="0.3">
      <c r="A27"/>
      <c r="B27" s="33"/>
      <c r="C27" s="34"/>
      <c r="D27" s="34"/>
      <c r="E27" s="34"/>
      <c r="F27" s="34"/>
      <c r="G27" s="34"/>
      <c r="H27"/>
      <c r="I27"/>
      <c r="J27" s="50" t="s">
        <v>40</v>
      </c>
      <c r="K27" s="15" t="s">
        <v>23</v>
      </c>
      <c r="L27" s="67" t="s">
        <v>24</v>
      </c>
      <c r="M27" s="38">
        <f t="shared" ref="M27:P29" si="4">(N21-M21)/M21</f>
        <v>7.7512606996161396E-3</v>
      </c>
      <c r="N27" s="38">
        <f t="shared" si="4"/>
        <v>1.043673951255375E-2</v>
      </c>
      <c r="O27" s="38">
        <f t="shared" si="4"/>
        <v>7.8529554103495061E-2</v>
      </c>
      <c r="P27" s="38">
        <f t="shared" si="4"/>
        <v>-5.1386190154997805E-2</v>
      </c>
      <c r="Q27" s="40">
        <f>(Q21-M21)/M21</f>
        <v>4.1799085683016754E-2</v>
      </c>
      <c r="S27"/>
      <c r="T27"/>
    </row>
    <row r="28" spans="1:20" s="2" customFormat="1" x14ac:dyDescent="0.3">
      <c r="A28"/>
      <c r="B28" s="33"/>
      <c r="C28" s="34"/>
      <c r="D28" s="34"/>
      <c r="E28" s="34"/>
      <c r="F28" s="34"/>
      <c r="G28" s="34"/>
      <c r="I28"/>
      <c r="J28"/>
      <c r="K28" s="21" t="s">
        <v>26</v>
      </c>
      <c r="L28" s="68" t="s">
        <v>27</v>
      </c>
      <c r="M28" s="38">
        <f t="shared" si="4"/>
        <v>-6.529687549903071E-2</v>
      </c>
      <c r="N28" s="38">
        <f t="shared" si="4"/>
        <v>-0.14498505449754978</v>
      </c>
      <c r="O28" s="38">
        <f t="shared" si="4"/>
        <v>0.28995632185485881</v>
      </c>
      <c r="P28" s="38">
        <f t="shared" si="4"/>
        <v>-0.17476069069476682</v>
      </c>
      <c r="Q28" s="40">
        <f>(Q22-M22)/M22</f>
        <v>-0.14924930454860233</v>
      </c>
      <c r="R28"/>
      <c r="S28"/>
      <c r="T28"/>
    </row>
    <row r="29" spans="1:20" x14ac:dyDescent="0.3">
      <c r="K29" s="21" t="s">
        <v>28</v>
      </c>
      <c r="L29" s="68" t="s">
        <v>29</v>
      </c>
      <c r="M29" s="38">
        <f t="shared" si="4"/>
        <v>-9.0684234869997382E-2</v>
      </c>
      <c r="N29" s="38">
        <f t="shared" si="4"/>
        <v>-0.24423201502280745</v>
      </c>
      <c r="O29" s="38">
        <f t="shared" si="4"/>
        <v>0.39972255070944673</v>
      </c>
      <c r="P29" s="38">
        <f t="shared" si="4"/>
        <v>-9.6298527659330918E-2</v>
      </c>
      <c r="Q29" s="40">
        <f>(Q23-M23)/M23</f>
        <v>-0.13069903668875035</v>
      </c>
      <c r="R29" s="25"/>
    </row>
    <row r="30" spans="1:20" ht="23.25" customHeight="1" x14ac:dyDescent="0.3">
      <c r="K30" s="65"/>
      <c r="L30" s="23"/>
      <c r="M30" s="39"/>
      <c r="N30" s="39"/>
      <c r="O30" s="39"/>
      <c r="P30" s="39"/>
      <c r="Q30" s="39"/>
    </row>
    <row r="31" spans="1:20" ht="23.25" customHeight="1" x14ac:dyDescent="0.3"/>
    <row r="32" spans="1:20" ht="23.25" customHeight="1" x14ac:dyDescent="0.3">
      <c r="H32"/>
    </row>
    <row r="33" spans="8:8" ht="23.25" customHeight="1" x14ac:dyDescent="0.3">
      <c r="H33"/>
    </row>
    <row r="35" spans="8:8" x14ac:dyDescent="0.3">
      <c r="H35" s="31"/>
    </row>
    <row r="36" spans="8:8" x14ac:dyDescent="0.3">
      <c r="H36" s="31"/>
    </row>
    <row r="37" spans="8:8" x14ac:dyDescent="0.3">
      <c r="H37" s="31"/>
    </row>
  </sheetData>
  <mergeCells count="1">
    <mergeCell ref="R2:R4"/>
  </mergeCell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95F51-F8C1-4E38-BDC9-4CAE1DEC244C}">
  <dimension ref="B1:T64"/>
  <sheetViews>
    <sheetView topLeftCell="A18" workbookViewId="0">
      <selection activeCell="Q16" sqref="Q16"/>
    </sheetView>
  </sheetViews>
  <sheetFormatPr defaultRowHeight="15.6" x14ac:dyDescent="0.3"/>
  <cols>
    <col min="1" max="1" width="4.33203125" customWidth="1"/>
    <col min="2" max="2" width="39.6640625" style="42" customWidth="1"/>
    <col min="3" max="4" width="10.44140625" style="42" customWidth="1"/>
    <col min="5" max="5" width="11.44140625" style="42" customWidth="1"/>
    <col min="6" max="6" width="10.44140625" style="42" customWidth="1"/>
    <col min="7" max="7" width="11.33203125" style="42" customWidth="1"/>
    <col min="8" max="8" width="3.44140625" style="42" customWidth="1"/>
    <col min="9" max="9" width="5.6640625" customWidth="1"/>
    <col min="10" max="10" width="19.88671875" customWidth="1"/>
    <col min="11" max="11" width="30.5546875" customWidth="1"/>
    <col min="12" max="12" width="41" customWidth="1"/>
    <col min="13" max="13" width="11.109375" customWidth="1"/>
    <col min="14" max="14" width="10.88671875" customWidth="1"/>
    <col min="15" max="15" width="11.5546875" customWidth="1"/>
    <col min="16" max="16" width="11" customWidth="1"/>
    <col min="17" max="17" width="11.88671875" customWidth="1"/>
    <col min="18" max="18" width="14.6640625" customWidth="1"/>
    <col min="19" max="19" width="14.44140625" customWidth="1"/>
    <col min="20" max="20" width="12.6640625" customWidth="1"/>
  </cols>
  <sheetData>
    <row r="1" spans="2:19" ht="14.4" x14ac:dyDescent="0.3">
      <c r="B1" s="43" t="s">
        <v>0</v>
      </c>
      <c r="C1" s="43"/>
      <c r="D1" s="43"/>
      <c r="E1" s="43"/>
      <c r="F1" s="43"/>
      <c r="G1" s="43"/>
      <c r="H1" s="43"/>
      <c r="I1" s="43"/>
      <c r="J1" s="43"/>
    </row>
    <row r="2" spans="2:19" ht="14.4" x14ac:dyDescent="0.3">
      <c r="B2" s="43" t="s">
        <v>1</v>
      </c>
      <c r="C2" s="43"/>
      <c r="D2" s="43"/>
      <c r="E2" s="43"/>
      <c r="F2" s="43"/>
      <c r="G2" s="43"/>
      <c r="H2" s="43"/>
      <c r="I2" s="43"/>
      <c r="J2" s="43"/>
    </row>
    <row r="3" spans="2:19" ht="14.4" x14ac:dyDescent="0.3">
      <c r="B3" s="43" t="s">
        <v>2</v>
      </c>
      <c r="C3" s="43"/>
      <c r="D3" s="43"/>
      <c r="E3" s="43"/>
      <c r="F3" s="43"/>
      <c r="G3" s="43"/>
      <c r="H3" s="43"/>
      <c r="I3" s="43"/>
      <c r="J3" s="43"/>
    </row>
    <row r="4" spans="2:19" ht="14.4" x14ac:dyDescent="0.3">
      <c r="B4" s="43" t="s">
        <v>3</v>
      </c>
      <c r="C4" s="43"/>
      <c r="D4" s="43"/>
      <c r="E4" s="43"/>
      <c r="F4" s="43"/>
      <c r="G4" s="43"/>
      <c r="H4" s="43"/>
      <c r="I4" s="43"/>
      <c r="J4" s="43"/>
    </row>
    <row r="5" spans="2:19" ht="14.4" x14ac:dyDescent="0.3">
      <c r="B5" s="43" t="s">
        <v>4</v>
      </c>
      <c r="C5" s="43"/>
      <c r="D5" s="43"/>
      <c r="E5" s="43"/>
      <c r="F5" s="43"/>
      <c r="G5" s="43"/>
      <c r="H5" s="43"/>
      <c r="I5" s="43"/>
      <c r="J5" s="43"/>
    </row>
    <row r="6" spans="2:19" ht="14.4" x14ac:dyDescent="0.3">
      <c r="B6" s="43" t="s">
        <v>5</v>
      </c>
      <c r="C6" s="43"/>
      <c r="D6" s="43"/>
      <c r="E6" s="43"/>
      <c r="F6" s="43"/>
      <c r="G6" s="43"/>
      <c r="H6" s="43"/>
      <c r="I6" s="43"/>
      <c r="J6" s="43"/>
    </row>
    <row r="7" spans="2:19" ht="15" thickBot="1" x14ac:dyDescent="0.35">
      <c r="B7" s="44" t="s">
        <v>46</v>
      </c>
      <c r="C7" s="44"/>
      <c r="D7" s="44"/>
      <c r="E7" s="44"/>
      <c r="F7" s="44"/>
      <c r="G7" s="44"/>
      <c r="H7" s="44"/>
      <c r="I7" s="44"/>
      <c r="J7" s="44"/>
      <c r="K7" s="1"/>
      <c r="L7" s="1"/>
      <c r="M7" s="1"/>
      <c r="N7" s="1"/>
      <c r="O7" s="1"/>
      <c r="P7" s="1"/>
      <c r="Q7" s="1"/>
      <c r="R7" s="1"/>
      <c r="S7" s="1"/>
    </row>
    <row r="10" spans="2:19" ht="15.75" customHeight="1" x14ac:dyDescent="0.3">
      <c r="B10" s="45" t="s">
        <v>6</v>
      </c>
    </row>
    <row r="11" spans="2:19" ht="15.75" customHeight="1" x14ac:dyDescent="0.3">
      <c r="B11" s="46" t="s">
        <v>47</v>
      </c>
      <c r="C11" s="47"/>
      <c r="D11" s="47"/>
      <c r="E11" s="47"/>
      <c r="F11" s="47"/>
      <c r="G11" s="47"/>
    </row>
    <row r="12" spans="2:19" ht="15.75" customHeight="1" x14ac:dyDescent="0.3">
      <c r="B12" s="48" t="s">
        <v>7</v>
      </c>
      <c r="C12" s="49">
        <v>2018</v>
      </c>
      <c r="D12" s="49">
        <v>2019</v>
      </c>
      <c r="E12" s="49">
        <v>2020</v>
      </c>
      <c r="F12" s="49">
        <v>2021</v>
      </c>
      <c r="G12" s="49">
        <v>2022</v>
      </c>
      <c r="J12" s="50" t="s">
        <v>8</v>
      </c>
      <c r="L12" s="8" t="s">
        <v>9</v>
      </c>
      <c r="M12" s="51">
        <v>2018</v>
      </c>
      <c r="N12" s="51">
        <v>2019</v>
      </c>
      <c r="O12" s="51">
        <v>2020</v>
      </c>
      <c r="P12" s="51">
        <v>2021</v>
      </c>
      <c r="Q12" s="51">
        <v>2022</v>
      </c>
    </row>
    <row r="13" spans="2:19" x14ac:dyDescent="0.3">
      <c r="B13" s="42" t="s">
        <v>10</v>
      </c>
      <c r="C13" s="52">
        <v>5150</v>
      </c>
      <c r="D13" s="52">
        <v>5300</v>
      </c>
      <c r="E13" s="52">
        <v>5500</v>
      </c>
      <c r="F13" s="52">
        <v>5800</v>
      </c>
      <c r="G13" s="52">
        <v>5900</v>
      </c>
      <c r="L13" s="9"/>
      <c r="M13" s="10">
        <f>C22/C13</f>
        <v>5.9143689320388354E-2</v>
      </c>
      <c r="N13" s="11">
        <f>D22/D13</f>
        <v>0.1278</v>
      </c>
      <c r="O13" s="11">
        <f>E22/E13</f>
        <v>0.13554545454545455</v>
      </c>
      <c r="P13" s="11">
        <f>F22/F13</f>
        <v>0.15130344827586206</v>
      </c>
      <c r="Q13" s="11">
        <f>G22/G13</f>
        <v>0.14260169491525423</v>
      </c>
    </row>
    <row r="14" spans="2:19" x14ac:dyDescent="0.3">
      <c r="B14" s="47" t="s">
        <v>11</v>
      </c>
      <c r="C14" s="53">
        <v>-4570</v>
      </c>
      <c r="D14" s="53">
        <v>-4200</v>
      </c>
      <c r="E14" s="53">
        <v>-4300</v>
      </c>
      <c r="F14" s="53">
        <v>-4400</v>
      </c>
      <c r="G14" s="53">
        <v>-4550</v>
      </c>
      <c r="L14" s="54" t="s">
        <v>12</v>
      </c>
      <c r="M14" s="12">
        <v>5.9143689320388403E-2</v>
      </c>
      <c r="N14" s="55">
        <v>0.1278</v>
      </c>
      <c r="O14" s="56">
        <v>0.13554545454545455</v>
      </c>
      <c r="P14" s="56">
        <v>0.15130344827586206</v>
      </c>
      <c r="Q14" s="56">
        <v>0.14260169491525423</v>
      </c>
    </row>
    <row r="15" spans="2:19" x14ac:dyDescent="0.3">
      <c r="B15" s="26" t="s">
        <v>13</v>
      </c>
      <c r="C15" s="57">
        <f>C13+C14</f>
        <v>580</v>
      </c>
      <c r="D15" s="57">
        <f>D13+D14</f>
        <v>1100</v>
      </c>
      <c r="E15" s="57">
        <f>E13+E14</f>
        <v>1200</v>
      </c>
      <c r="F15" s="57">
        <f>F13+F14</f>
        <v>1400</v>
      </c>
      <c r="G15" s="57">
        <f>G13+G14</f>
        <v>1350</v>
      </c>
    </row>
    <row r="16" spans="2:19" ht="25.2" customHeight="1" x14ac:dyDescent="0.3">
      <c r="B16" s="42" t="s">
        <v>14</v>
      </c>
      <c r="C16" s="58">
        <v>-45</v>
      </c>
      <c r="D16" s="58">
        <v>-43</v>
      </c>
      <c r="E16" s="58">
        <v>-46</v>
      </c>
      <c r="F16" s="58">
        <v>-58</v>
      </c>
      <c r="G16" s="58">
        <v>-60</v>
      </c>
    </row>
    <row r="17" spans="2:18" x14ac:dyDescent="0.3">
      <c r="B17" s="47" t="s">
        <v>15</v>
      </c>
      <c r="C17" s="53">
        <v>-30</v>
      </c>
      <c r="D17" s="53">
        <v>-29</v>
      </c>
      <c r="E17" s="53">
        <v>-35</v>
      </c>
      <c r="F17" s="53">
        <v>-40</v>
      </c>
      <c r="G17" s="53">
        <v>-40</v>
      </c>
      <c r="J17" s="50" t="s">
        <v>16</v>
      </c>
    </row>
    <row r="18" spans="2:18" x14ac:dyDescent="0.3">
      <c r="B18" s="26" t="s">
        <v>17</v>
      </c>
      <c r="C18" s="57">
        <f>C15+C16+C17</f>
        <v>505</v>
      </c>
      <c r="D18" s="57">
        <f>D15+D16+D17</f>
        <v>1028</v>
      </c>
      <c r="E18" s="57">
        <f>E15+E16+E17</f>
        <v>1119</v>
      </c>
      <c r="F18" s="57">
        <f>F15+F16+F17</f>
        <v>1302</v>
      </c>
      <c r="G18" s="57">
        <f>G15+G16+G17</f>
        <v>1250</v>
      </c>
      <c r="K18" s="15"/>
      <c r="L18" s="16"/>
      <c r="M18" s="16"/>
      <c r="N18" s="16"/>
      <c r="O18" s="16"/>
      <c r="P18" s="16"/>
      <c r="Q18" s="16"/>
      <c r="R18" s="81" t="s">
        <v>18</v>
      </c>
    </row>
    <row r="19" spans="2:18" x14ac:dyDescent="0.3">
      <c r="B19" s="47" t="s">
        <v>19</v>
      </c>
      <c r="C19" s="53">
        <v>-76</v>
      </c>
      <c r="D19" s="53">
        <v>-74</v>
      </c>
      <c r="E19" s="53">
        <v>-69</v>
      </c>
      <c r="F19" s="53">
        <v>-66</v>
      </c>
      <c r="G19" s="53">
        <v>-65</v>
      </c>
      <c r="K19" s="17"/>
      <c r="M19" s="60"/>
      <c r="R19" s="82"/>
    </row>
    <row r="20" spans="2:18" x14ac:dyDescent="0.3">
      <c r="B20" s="26" t="s">
        <v>20</v>
      </c>
      <c r="C20" s="57">
        <f>C18+C19</f>
        <v>429</v>
      </c>
      <c r="D20" s="57">
        <f>D18+D19</f>
        <v>954</v>
      </c>
      <c r="E20" s="57">
        <f>E18+E19</f>
        <v>1050</v>
      </c>
      <c r="F20" s="57">
        <f>F18+F19</f>
        <v>1236</v>
      </c>
      <c r="G20" s="57">
        <f>G18+G19</f>
        <v>1185</v>
      </c>
      <c r="K20" s="17" t="s">
        <v>21</v>
      </c>
      <c r="L20" s="19"/>
      <c r="M20" s="49">
        <v>2018</v>
      </c>
      <c r="N20" s="49">
        <v>2019</v>
      </c>
      <c r="O20" s="49">
        <v>2020</v>
      </c>
      <c r="P20" s="49">
        <v>2021</v>
      </c>
      <c r="Q20" s="49">
        <v>2022</v>
      </c>
      <c r="R20" s="83"/>
    </row>
    <row r="21" spans="2:18" ht="24" customHeight="1" x14ac:dyDescent="0.3">
      <c r="B21" s="19" t="s">
        <v>22</v>
      </c>
      <c r="C21" s="63">
        <f>-C20*0.29</f>
        <v>-124.41</v>
      </c>
      <c r="D21" s="63">
        <f>-D20*0.29</f>
        <v>-276.65999999999997</v>
      </c>
      <c r="E21" s="63">
        <f>-E20*0.29</f>
        <v>-304.5</v>
      </c>
      <c r="F21" s="63">
        <f>-F20*0.29</f>
        <v>-358.44</v>
      </c>
      <c r="G21" s="63">
        <f>-G20*0.29</f>
        <v>-343.65</v>
      </c>
      <c r="K21" s="15" t="s">
        <v>23</v>
      </c>
      <c r="L21" s="20" t="s">
        <v>24</v>
      </c>
      <c r="M21" s="36" t="e">
        <f>C31/C35</f>
        <v>#DIV/0!</v>
      </c>
      <c r="N21" s="36" t="e">
        <f>D31/D35</f>
        <v>#DIV/0!</v>
      </c>
      <c r="O21" s="36" t="e">
        <f>E31/E35</f>
        <v>#DIV/0!</v>
      </c>
      <c r="P21" s="36" t="e">
        <f>F31/F35</f>
        <v>#DIV/0!</v>
      </c>
      <c r="Q21" s="36" t="e">
        <f>G31/G35</f>
        <v>#DIV/0!</v>
      </c>
      <c r="R21" s="41" t="e">
        <f>(M21+N21+O21+P21+Q21)/5</f>
        <v>#DIV/0!</v>
      </c>
    </row>
    <row r="22" spans="2:18" x14ac:dyDescent="0.3">
      <c r="B22" s="64" t="s">
        <v>25</v>
      </c>
      <c r="C22" s="64">
        <f>C20+C21</f>
        <v>304.59000000000003</v>
      </c>
      <c r="D22" s="64">
        <f>D20+D21</f>
        <v>677.34</v>
      </c>
      <c r="E22" s="64">
        <f>E20+E21</f>
        <v>745.5</v>
      </c>
      <c r="F22" s="64">
        <f>F20+F21</f>
        <v>877.56</v>
      </c>
      <c r="G22" s="64">
        <f>G20+G21</f>
        <v>841.35</v>
      </c>
      <c r="K22" s="21" t="s">
        <v>26</v>
      </c>
      <c r="L22" s="35" t="s">
        <v>27</v>
      </c>
      <c r="M22" s="36" t="e">
        <f>(C29+C30)/C35</f>
        <v>#DIV/0!</v>
      </c>
      <c r="N22" s="36" t="e">
        <f>(D29+D30)/D35</f>
        <v>#DIV/0!</v>
      </c>
      <c r="O22" s="36" t="e">
        <f>(E29+E30)/E35</f>
        <v>#DIV/0!</v>
      </c>
      <c r="P22" s="36" t="e">
        <f>(F29+F30)/F35</f>
        <v>#DIV/0!</v>
      </c>
      <c r="Q22" s="36" t="e">
        <f>(G29+G30)/G35</f>
        <v>#DIV/0!</v>
      </c>
      <c r="R22" s="41" t="e">
        <f>(M22+N22+O22+P22+Q22)/5</f>
        <v>#DIV/0!</v>
      </c>
    </row>
    <row r="23" spans="2:18" x14ac:dyDescent="0.3">
      <c r="K23" s="21" t="s">
        <v>28</v>
      </c>
      <c r="L23" s="35" t="s">
        <v>29</v>
      </c>
      <c r="M23" s="36" t="e">
        <f>C30/C35</f>
        <v>#DIV/0!</v>
      </c>
      <c r="N23" s="36" t="e">
        <f>D30/D35</f>
        <v>#DIV/0!</v>
      </c>
      <c r="O23" s="36" t="e">
        <f>E30/E35</f>
        <v>#DIV/0!</v>
      </c>
      <c r="P23" s="36" t="e">
        <f>F30/F35</f>
        <v>#DIV/0!</v>
      </c>
      <c r="Q23" s="36" t="e">
        <f>G30/G35</f>
        <v>#DIV/0!</v>
      </c>
      <c r="R23" s="41" t="e">
        <f>(M23+N23+O23+P23+Q23)/5</f>
        <v>#DIV/0!</v>
      </c>
    </row>
    <row r="24" spans="2:18" ht="24.6" x14ac:dyDescent="0.3">
      <c r="B24"/>
      <c r="C24"/>
      <c r="D24"/>
      <c r="E24"/>
      <c r="F24"/>
      <c r="G24"/>
      <c r="H24"/>
      <c r="K24" s="65" t="s">
        <v>30</v>
      </c>
      <c r="L24" s="23" t="s">
        <v>31</v>
      </c>
      <c r="M24" s="37">
        <f>C31-C35</f>
        <v>696950</v>
      </c>
      <c r="N24" s="37">
        <f>D31-D35</f>
        <v>725818</v>
      </c>
      <c r="O24" s="37">
        <f>E31-E35</f>
        <v>747898</v>
      </c>
      <c r="P24" s="37">
        <f>F31-F35</f>
        <v>852487</v>
      </c>
      <c r="Q24" s="37">
        <f>G31-G35</f>
        <v>828645</v>
      </c>
      <c r="R24" s="41">
        <f>AVERAGE(M24:Q24)</f>
        <v>770359.6</v>
      </c>
    </row>
    <row r="25" spans="2:18" x14ac:dyDescent="0.3">
      <c r="B25" s="46" t="s">
        <v>32</v>
      </c>
      <c r="C25" s="47"/>
      <c r="D25" s="47"/>
      <c r="E25" s="47"/>
      <c r="F25" s="47"/>
      <c r="G25" s="47"/>
    </row>
    <row r="26" spans="2:18" x14ac:dyDescent="0.3">
      <c r="B26" s="48" t="s">
        <v>7</v>
      </c>
      <c r="C26" s="49">
        <v>2020</v>
      </c>
      <c r="D26" s="49">
        <v>2021</v>
      </c>
      <c r="E26" s="49">
        <v>2022</v>
      </c>
      <c r="F26" s="49">
        <v>2023</v>
      </c>
      <c r="G26" s="49">
        <v>2024</v>
      </c>
      <c r="L26" s="66" t="s">
        <v>33</v>
      </c>
      <c r="M26" s="50" t="s">
        <v>34</v>
      </c>
      <c r="N26" s="50" t="s">
        <v>35</v>
      </c>
      <c r="O26" s="50" t="s">
        <v>36</v>
      </c>
      <c r="P26" s="50" t="s">
        <v>37</v>
      </c>
      <c r="Q26" s="50" t="s">
        <v>38</v>
      </c>
      <c r="R26" s="25"/>
    </row>
    <row r="27" spans="2:18" ht="24" customHeight="1" x14ac:dyDescent="0.3">
      <c r="B27" s="26" t="s">
        <v>39</v>
      </c>
      <c r="C27" s="26">
        <v>2561061</v>
      </c>
      <c r="D27" s="26">
        <v>904</v>
      </c>
      <c r="E27" s="26">
        <v>854</v>
      </c>
      <c r="F27" s="26">
        <v>916</v>
      </c>
      <c r="G27" s="26">
        <v>909</v>
      </c>
      <c r="J27" s="50" t="s">
        <v>40</v>
      </c>
      <c r="K27" s="15" t="s">
        <v>23</v>
      </c>
      <c r="L27" s="67" t="s">
        <v>24</v>
      </c>
      <c r="M27" s="38" t="e">
        <f t="shared" ref="M27:P29" si="0">(N21-M21)/M21</f>
        <v>#DIV/0!</v>
      </c>
      <c r="N27" s="38" t="e">
        <f t="shared" si="0"/>
        <v>#DIV/0!</v>
      </c>
      <c r="O27" s="38" t="e">
        <f t="shared" si="0"/>
        <v>#DIV/0!</v>
      </c>
      <c r="P27" s="38" t="e">
        <f t="shared" si="0"/>
        <v>#DIV/0!</v>
      </c>
      <c r="Q27" s="40" t="e">
        <f>(Q21-M21)/M21</f>
        <v>#DIV/0!</v>
      </c>
    </row>
    <row r="28" spans="2:18" x14ac:dyDescent="0.3">
      <c r="B28" s="26" t="s">
        <v>41</v>
      </c>
      <c r="C28" s="57">
        <v>348564</v>
      </c>
      <c r="D28" s="26">
        <v>450</v>
      </c>
      <c r="E28" s="26">
        <v>445</v>
      </c>
      <c r="F28" s="26">
        <v>409</v>
      </c>
      <c r="G28" s="26">
        <v>361</v>
      </c>
      <c r="K28" s="21" t="s">
        <v>26</v>
      </c>
      <c r="L28" s="68" t="s">
        <v>27</v>
      </c>
      <c r="M28" s="38" t="e">
        <f t="shared" si="0"/>
        <v>#DIV/0!</v>
      </c>
      <c r="N28" s="38" t="e">
        <f t="shared" si="0"/>
        <v>#DIV/0!</v>
      </c>
      <c r="O28" s="38" t="e">
        <f t="shared" si="0"/>
        <v>#DIV/0!</v>
      </c>
      <c r="P28" s="38" t="e">
        <f t="shared" si="0"/>
        <v>#DIV/0!</v>
      </c>
      <c r="Q28" s="40" t="e">
        <f>(Q22-M22)/M22</f>
        <v>#DIV/0!</v>
      </c>
    </row>
    <row r="29" spans="2:18" x14ac:dyDescent="0.3">
      <c r="B29" s="69" t="s">
        <v>42</v>
      </c>
      <c r="C29" s="72">
        <v>71665</v>
      </c>
      <c r="D29" s="69">
        <v>76435</v>
      </c>
      <c r="E29" s="69">
        <v>92788</v>
      </c>
      <c r="F29" s="69">
        <v>103403</v>
      </c>
      <c r="G29" s="69">
        <v>63762</v>
      </c>
      <c r="H29"/>
      <c r="K29" s="21" t="s">
        <v>28</v>
      </c>
      <c r="L29" s="68" t="s">
        <v>29</v>
      </c>
      <c r="M29" s="38" t="e">
        <f t="shared" si="0"/>
        <v>#DIV/0!</v>
      </c>
      <c r="N29" s="38" t="e">
        <f t="shared" si="0"/>
        <v>#DIV/0!</v>
      </c>
      <c r="O29" s="38" t="e">
        <f t="shared" si="0"/>
        <v>#DIV/0!</v>
      </c>
      <c r="P29" s="38" t="e">
        <f t="shared" si="0"/>
        <v>#DIV/0!</v>
      </c>
      <c r="Q29" s="40" t="e">
        <f>(Q23-M23)/M23</f>
        <v>#DIV/0!</v>
      </c>
    </row>
    <row r="30" spans="2:18" x14ac:dyDescent="0.3">
      <c r="B30" s="69" t="s">
        <v>43</v>
      </c>
      <c r="C30" s="72">
        <v>274875</v>
      </c>
      <c r="D30" s="69">
        <v>258299</v>
      </c>
      <c r="E30" s="69">
        <v>199075</v>
      </c>
      <c r="F30" s="69">
        <v>294491</v>
      </c>
      <c r="G30" s="69">
        <v>272702</v>
      </c>
      <c r="H30"/>
      <c r="K30" s="65"/>
      <c r="L30" s="23"/>
      <c r="M30" s="39"/>
      <c r="N30" s="39"/>
      <c r="O30" s="39"/>
      <c r="P30" s="39"/>
      <c r="Q30" s="39"/>
    </row>
    <row r="31" spans="2:18" x14ac:dyDescent="0.3">
      <c r="B31" s="70" t="s">
        <v>44</v>
      </c>
      <c r="C31" s="71">
        <f>696950</f>
        <v>696950</v>
      </c>
      <c r="D31" s="71">
        <v>725818</v>
      </c>
      <c r="E31" s="71">
        <v>747898</v>
      </c>
      <c r="F31" s="71">
        <v>852487</v>
      </c>
      <c r="G31" s="71">
        <v>828645</v>
      </c>
    </row>
    <row r="32" spans="2:18" ht="14.4" x14ac:dyDescent="0.3">
      <c r="B32" s="43" t="s">
        <v>0</v>
      </c>
      <c r="C32" s="43"/>
      <c r="D32" s="43"/>
      <c r="E32" s="43"/>
      <c r="F32" s="43"/>
      <c r="G32" s="43"/>
      <c r="H32" s="43"/>
      <c r="I32" s="43"/>
      <c r="J32" s="43"/>
    </row>
    <row r="33" spans="2:19" ht="14.4" x14ac:dyDescent="0.3">
      <c r="B33" s="43" t="s">
        <v>1</v>
      </c>
      <c r="C33" s="43"/>
      <c r="D33" s="43"/>
      <c r="E33" s="43"/>
      <c r="F33" s="43"/>
      <c r="G33" s="43"/>
      <c r="H33" s="43"/>
      <c r="I33" s="43"/>
      <c r="J33" s="43"/>
    </row>
    <row r="34" spans="2:19" ht="14.4" x14ac:dyDescent="0.3">
      <c r="B34" s="43" t="s">
        <v>2</v>
      </c>
      <c r="C34" s="43"/>
      <c r="D34" s="43"/>
      <c r="E34" s="43"/>
      <c r="F34" s="43"/>
      <c r="G34" s="43"/>
      <c r="H34" s="43"/>
      <c r="I34" s="43"/>
      <c r="J34" s="43"/>
    </row>
    <row r="35" spans="2:19" ht="14.4" x14ac:dyDescent="0.3">
      <c r="B35" s="43" t="s">
        <v>3</v>
      </c>
      <c r="C35" s="43"/>
      <c r="D35" s="43"/>
      <c r="E35" s="43"/>
      <c r="F35" s="43"/>
      <c r="G35" s="43"/>
      <c r="H35" s="43"/>
      <c r="I35" s="43"/>
      <c r="J35" s="43"/>
    </row>
    <row r="36" spans="2:19" ht="14.4" x14ac:dyDescent="0.3">
      <c r="B36" s="43" t="s">
        <v>4</v>
      </c>
      <c r="C36" s="43"/>
      <c r="D36" s="43"/>
      <c r="E36" s="43"/>
      <c r="F36" s="43"/>
      <c r="G36" s="43"/>
      <c r="H36" s="43"/>
      <c r="I36" s="43"/>
      <c r="J36" s="43"/>
    </row>
    <row r="37" spans="2:19" ht="14.4" x14ac:dyDescent="0.3">
      <c r="B37" s="43" t="s">
        <v>5</v>
      </c>
      <c r="C37" s="43"/>
      <c r="D37" s="43"/>
      <c r="E37" s="43"/>
      <c r="F37" s="43"/>
      <c r="G37" s="43"/>
      <c r="H37" s="43"/>
      <c r="I37" s="43"/>
      <c r="J37" s="43"/>
    </row>
    <row r="38" spans="2:19" ht="15" thickBot="1" x14ac:dyDescent="0.35">
      <c r="B38" s="44" t="s">
        <v>46</v>
      </c>
      <c r="C38" s="44"/>
      <c r="D38" s="44"/>
      <c r="E38" s="44"/>
      <c r="F38" s="44"/>
      <c r="G38" s="44"/>
      <c r="H38" s="44"/>
      <c r="I38" s="44"/>
      <c r="J38" s="44"/>
      <c r="K38" s="1"/>
      <c r="L38" s="1"/>
      <c r="M38" s="1"/>
      <c r="N38" s="1"/>
      <c r="O38" s="1"/>
      <c r="P38" s="1"/>
      <c r="Q38" s="1"/>
      <c r="R38" s="1"/>
      <c r="S38" s="1"/>
    </row>
    <row r="41" spans="2:19" x14ac:dyDescent="0.3">
      <c r="B41" s="45" t="s">
        <v>6</v>
      </c>
    </row>
    <row r="42" spans="2:19" x14ac:dyDescent="0.3">
      <c r="B42" s="46" t="s">
        <v>47</v>
      </c>
      <c r="C42" s="47"/>
      <c r="D42" s="47"/>
      <c r="E42" s="47"/>
      <c r="F42" s="47"/>
      <c r="G42" s="47"/>
    </row>
    <row r="43" spans="2:19" x14ac:dyDescent="0.3">
      <c r="B43" s="48" t="s">
        <v>7</v>
      </c>
      <c r="C43" s="49">
        <v>-5722</v>
      </c>
      <c r="D43" s="49">
        <v>-5179.3333333333303</v>
      </c>
      <c r="E43" s="49">
        <v>-5246.6666666666697</v>
      </c>
      <c r="F43" s="49">
        <v>-5280.6666666666697</v>
      </c>
      <c r="G43" s="49">
        <v>-5448</v>
      </c>
      <c r="J43" s="50" t="s">
        <v>8</v>
      </c>
      <c r="L43" s="8" t="s">
        <v>9</v>
      </c>
      <c r="M43" s="51">
        <v>2018</v>
      </c>
      <c r="N43" s="51">
        <v>2019</v>
      </c>
      <c r="O43" s="51">
        <v>2020</v>
      </c>
      <c r="P43" s="51">
        <v>2021</v>
      </c>
      <c r="Q43" s="51">
        <v>2022</v>
      </c>
    </row>
    <row r="44" spans="2:19" x14ac:dyDescent="0.3">
      <c r="B44" s="42" t="s">
        <v>10</v>
      </c>
      <c r="C44" s="52">
        <v>-9016</v>
      </c>
      <c r="D44" s="52">
        <v>-8288.8333333333303</v>
      </c>
      <c r="E44" s="52">
        <v>-8406.6666666666697</v>
      </c>
      <c r="F44" s="52">
        <v>-8491.1666666666697</v>
      </c>
      <c r="G44" s="52">
        <v>-8734</v>
      </c>
      <c r="L44" s="9"/>
      <c r="M44" s="10">
        <f>C53/C44</f>
        <v>1.6865649955634427</v>
      </c>
      <c r="N44" s="11">
        <f>D53/D44</f>
        <v>1.6940608851265733</v>
      </c>
      <c r="O44" s="11">
        <f>E53/E44</f>
        <v>1.6958358445678061</v>
      </c>
      <c r="P44" s="11">
        <f>F53/F44</f>
        <v>1.6961428543388255</v>
      </c>
      <c r="Q44" s="11">
        <f>G53/G44</f>
        <v>1.6940336615525533</v>
      </c>
    </row>
    <row r="45" spans="2:19" x14ac:dyDescent="0.3">
      <c r="B45" s="47" t="s">
        <v>11</v>
      </c>
      <c r="C45" s="53">
        <v>-12310</v>
      </c>
      <c r="D45" s="53">
        <v>-11398.333333333299</v>
      </c>
      <c r="E45" s="53">
        <v>-11566.666666666701</v>
      </c>
      <c r="F45" s="53">
        <v>-11701.666666666701</v>
      </c>
      <c r="G45" s="53">
        <v>-12020</v>
      </c>
      <c r="L45" s="54" t="s">
        <v>12</v>
      </c>
      <c r="M45" s="12">
        <v>4035.9408563106799</v>
      </c>
      <c r="N45" s="55">
        <v>4037.8721999999998</v>
      </c>
      <c r="O45" s="56">
        <v>4039.8644545454599</v>
      </c>
      <c r="P45" s="56">
        <v>4041.84869655173</v>
      </c>
      <c r="Q45" s="56">
        <v>4043.8573983050901</v>
      </c>
    </row>
    <row r="46" spans="2:19" x14ac:dyDescent="0.3">
      <c r="B46" s="26" t="s">
        <v>13</v>
      </c>
      <c r="C46" s="57">
        <f>C44+C45</f>
        <v>-21326</v>
      </c>
      <c r="D46" s="57">
        <f>D44+D45</f>
        <v>-19687.166666666628</v>
      </c>
      <c r="E46" s="57">
        <f>E44+E45</f>
        <v>-19973.333333333372</v>
      </c>
      <c r="F46" s="57">
        <f>F44+F45</f>
        <v>-20192.833333333372</v>
      </c>
      <c r="G46" s="57">
        <f>G44+G45</f>
        <v>-20754</v>
      </c>
    </row>
    <row r="47" spans="2:19" x14ac:dyDescent="0.3">
      <c r="B47" s="42" t="s">
        <v>14</v>
      </c>
      <c r="C47" s="58">
        <v>-15</v>
      </c>
      <c r="D47" s="58">
        <v>-15</v>
      </c>
      <c r="E47" s="58">
        <v>-24</v>
      </c>
      <c r="F47" s="58">
        <v>-22</v>
      </c>
      <c r="G47" s="58">
        <v>-20</v>
      </c>
    </row>
    <row r="48" spans="2:19" x14ac:dyDescent="0.3">
      <c r="B48" s="47" t="s">
        <v>15</v>
      </c>
      <c r="C48" s="53">
        <v>0</v>
      </c>
      <c r="D48" s="53">
        <v>-1</v>
      </c>
      <c r="E48" s="53">
        <v>-13</v>
      </c>
      <c r="F48" s="53">
        <v>-4</v>
      </c>
      <c r="G48" s="53">
        <v>0</v>
      </c>
      <c r="J48" s="50" t="s">
        <v>16</v>
      </c>
    </row>
    <row r="49" spans="2:20" x14ac:dyDescent="0.3">
      <c r="B49" s="26" t="s">
        <v>17</v>
      </c>
      <c r="C49" s="57">
        <f>C46+C47+C48</f>
        <v>-21341</v>
      </c>
      <c r="D49" s="57">
        <f>D46+D47+D48</f>
        <v>-19703.166666666628</v>
      </c>
      <c r="E49" s="57">
        <f>E46+E47+E48</f>
        <v>-20010.333333333372</v>
      </c>
      <c r="F49" s="57">
        <f>F46+F47+F48</f>
        <v>-20218.833333333372</v>
      </c>
      <c r="G49" s="57">
        <f>G46+G47+G48</f>
        <v>-20774</v>
      </c>
      <c r="K49" s="15"/>
      <c r="L49" s="16"/>
      <c r="M49" s="16"/>
      <c r="N49" s="16"/>
      <c r="O49" s="16"/>
      <c r="P49" s="16"/>
      <c r="Q49" s="16"/>
      <c r="R49" s="81" t="s">
        <v>18</v>
      </c>
    </row>
    <row r="50" spans="2:20" x14ac:dyDescent="0.3">
      <c r="B50" s="47" t="s">
        <v>19</v>
      </c>
      <c r="C50" s="53">
        <v>-76</v>
      </c>
      <c r="D50" s="53">
        <v>-74</v>
      </c>
      <c r="E50" s="53">
        <v>-69</v>
      </c>
      <c r="F50" s="53">
        <v>-66</v>
      </c>
      <c r="G50" s="53">
        <v>-65</v>
      </c>
      <c r="K50" s="17"/>
      <c r="M50" s="60"/>
      <c r="R50" s="82"/>
    </row>
    <row r="51" spans="2:20" x14ac:dyDescent="0.3">
      <c r="B51" s="26" t="s">
        <v>20</v>
      </c>
      <c r="C51" s="57">
        <f>C49+C50</f>
        <v>-21417</v>
      </c>
      <c r="D51" s="57">
        <f>D49+D50</f>
        <v>-19777.166666666628</v>
      </c>
      <c r="E51" s="57">
        <f>E49+E50</f>
        <v>-20079.333333333372</v>
      </c>
      <c r="F51" s="57">
        <f>F49+F50</f>
        <v>-20284.833333333372</v>
      </c>
      <c r="G51" s="57">
        <f>G49+G50</f>
        <v>-20839</v>
      </c>
      <c r="K51" s="17" t="s">
        <v>21</v>
      </c>
      <c r="L51" s="19"/>
      <c r="M51" s="49">
        <v>6053.8817126213598</v>
      </c>
      <c r="N51" s="49">
        <v>6056.7443999999996</v>
      </c>
      <c r="O51" s="49">
        <v>6059.7289090909098</v>
      </c>
      <c r="P51" s="49">
        <v>6062.6973931034499</v>
      </c>
      <c r="Q51" s="49">
        <v>6065.7147966101702</v>
      </c>
      <c r="R51" s="83"/>
    </row>
    <row r="52" spans="2:20" ht="24" x14ac:dyDescent="0.3">
      <c r="B52" s="19" t="s">
        <v>22</v>
      </c>
      <c r="C52" s="63">
        <f>-C51*0.29</f>
        <v>6210.9299999999994</v>
      </c>
      <c r="D52" s="63">
        <f>-D51*0.29</f>
        <v>5735.3783333333213</v>
      </c>
      <c r="E52" s="63">
        <f>-E51*0.29</f>
        <v>5823.0066666666771</v>
      </c>
      <c r="F52" s="63">
        <f>-F51*0.29</f>
        <v>5882.6016666666774</v>
      </c>
      <c r="G52" s="63">
        <f>-G51*0.29</f>
        <v>6043.3099999999995</v>
      </c>
      <c r="K52" s="15" t="s">
        <v>23</v>
      </c>
      <c r="L52" s="20" t="s">
        <v>24</v>
      </c>
      <c r="M52" s="36" t="e">
        <f>C62/C66</f>
        <v>#DIV/0!</v>
      </c>
      <c r="N52" s="36" t="e">
        <f>D62/D66</f>
        <v>#DIV/0!</v>
      </c>
      <c r="O52" s="36" t="e">
        <f>E62/E66</f>
        <v>#DIV/0!</v>
      </c>
      <c r="P52" s="36" t="e">
        <f>F62/F66</f>
        <v>#DIV/0!</v>
      </c>
      <c r="Q52" s="36" t="e">
        <f>G62/G66</f>
        <v>#DIV/0!</v>
      </c>
      <c r="R52" s="41" t="e">
        <f>(M52+N52+O52+P52+Q52)/5</f>
        <v>#DIV/0!</v>
      </c>
    </row>
    <row r="53" spans="2:20" x14ac:dyDescent="0.3">
      <c r="B53" s="64" t="s">
        <v>25</v>
      </c>
      <c r="C53" s="64">
        <f>C51+C52</f>
        <v>-15206.07</v>
      </c>
      <c r="D53" s="64">
        <f>D51+D52</f>
        <v>-14041.788333333307</v>
      </c>
      <c r="E53" s="64">
        <f>E51+E52</f>
        <v>-14256.326666666695</v>
      </c>
      <c r="F53" s="64">
        <f>F51+F52</f>
        <v>-14402.231666666696</v>
      </c>
      <c r="G53" s="64">
        <f>G51+G52</f>
        <v>-14795.69</v>
      </c>
      <c r="K53" s="21" t="s">
        <v>26</v>
      </c>
      <c r="L53" s="35" t="s">
        <v>27</v>
      </c>
      <c r="M53" s="36" t="e">
        <f>(C60+C61)/C66</f>
        <v>#DIV/0!</v>
      </c>
      <c r="N53" s="36" t="e">
        <f>(D60+D61)/D66</f>
        <v>#DIV/0!</v>
      </c>
      <c r="O53" s="36" t="e">
        <f>(E60+E61)/E66</f>
        <v>#DIV/0!</v>
      </c>
      <c r="P53" s="36" t="e">
        <f>(F60+F61)/F66</f>
        <v>#DIV/0!</v>
      </c>
      <c r="Q53" s="36" t="e">
        <f>(G60+G61)/G66</f>
        <v>#DIV/0!</v>
      </c>
      <c r="R53" s="41" t="e">
        <f>(M53+N53+O53+P53+Q53)/5</f>
        <v>#DIV/0!</v>
      </c>
    </row>
    <row r="54" spans="2:20" x14ac:dyDescent="0.3">
      <c r="K54" s="21" t="s">
        <v>28</v>
      </c>
      <c r="L54" s="35" t="s">
        <v>29</v>
      </c>
      <c r="M54" s="36" t="e">
        <f>C61/C66</f>
        <v>#DIV/0!</v>
      </c>
      <c r="N54" s="36" t="e">
        <f>D61/D66</f>
        <v>#DIV/0!</v>
      </c>
      <c r="O54" s="36" t="e">
        <f>E61/E66</f>
        <v>#DIV/0!</v>
      </c>
      <c r="P54" s="36" t="e">
        <f>F61/F66</f>
        <v>#DIV/0!</v>
      </c>
      <c r="Q54" s="36" t="e">
        <f>G61/G66</f>
        <v>#DIV/0!</v>
      </c>
      <c r="R54" s="41" t="e">
        <f>(M54+N54+O54+P54+Q54)/5</f>
        <v>#DIV/0!</v>
      </c>
    </row>
    <row r="55" spans="2:20" ht="24.6" x14ac:dyDescent="0.3">
      <c r="B55"/>
      <c r="C55"/>
      <c r="D55"/>
      <c r="E55"/>
      <c r="F55"/>
      <c r="G55"/>
      <c r="H55"/>
      <c r="K55" s="65" t="s">
        <v>30</v>
      </c>
      <c r="L55" s="23" t="s">
        <v>31</v>
      </c>
      <c r="M55" s="37">
        <f>C62-C66</f>
        <v>696950</v>
      </c>
      <c r="N55" s="37">
        <f>D62-D66</f>
        <v>1262201.66666667</v>
      </c>
      <c r="O55" s="37">
        <f>E62-E66</f>
        <v>1246397.88571429</v>
      </c>
      <c r="P55" s="37">
        <f>F62-F66</f>
        <v>1480564.3047619101</v>
      </c>
      <c r="Q55" s="37">
        <f>G62-G66</f>
        <v>1411905.90476191</v>
      </c>
      <c r="R55" s="41">
        <f>AVERAGE(M55:Q55)</f>
        <v>1219603.9523809559</v>
      </c>
    </row>
    <row r="56" spans="2:20" x14ac:dyDescent="0.3">
      <c r="B56" s="46" t="s">
        <v>32</v>
      </c>
      <c r="C56" s="47"/>
      <c r="D56" s="47"/>
      <c r="E56" s="47"/>
      <c r="F56" s="47"/>
      <c r="G56" s="47"/>
    </row>
    <row r="57" spans="2:20" x14ac:dyDescent="0.3">
      <c r="B57" s="48" t="s">
        <v>7</v>
      </c>
      <c r="C57" s="49">
        <v>68531.200000000099</v>
      </c>
      <c r="D57" s="49">
        <v>624036.66666666698</v>
      </c>
      <c r="E57" s="49">
        <v>615485.6</v>
      </c>
      <c r="F57" s="49">
        <v>732558.73333333398</v>
      </c>
      <c r="G57" s="49">
        <v>695922.33333333395</v>
      </c>
      <c r="L57" s="66" t="s">
        <v>33</v>
      </c>
      <c r="M57" s="50" t="s">
        <v>61</v>
      </c>
      <c r="N57" s="50" t="s">
        <v>62</v>
      </c>
      <c r="O57" s="50" t="s">
        <v>63</v>
      </c>
      <c r="P57" s="50" t="s">
        <v>64</v>
      </c>
      <c r="Q57" s="50" t="s">
        <v>65</v>
      </c>
      <c r="R57" s="25"/>
    </row>
    <row r="58" spans="2:20" ht="24" x14ac:dyDescent="0.3">
      <c r="B58" s="26" t="s">
        <v>39</v>
      </c>
      <c r="C58" s="26">
        <v>-125837.4</v>
      </c>
      <c r="D58" s="26">
        <v>751669.66666666698</v>
      </c>
      <c r="E58" s="26">
        <v>741668.057142857</v>
      </c>
      <c r="F58" s="26">
        <v>882159.84761904797</v>
      </c>
      <c r="G58" s="26">
        <v>839119.04761904804</v>
      </c>
      <c r="J58" s="50" t="s">
        <v>40</v>
      </c>
      <c r="K58" s="15" t="s">
        <v>23</v>
      </c>
      <c r="L58" s="67" t="s">
        <v>24</v>
      </c>
      <c r="M58" s="38" t="e">
        <f t="shared" ref="M58:P58" si="1">(N52-M52)/M52</f>
        <v>#DIV/0!</v>
      </c>
      <c r="N58" s="38" t="e">
        <f t="shared" si="1"/>
        <v>#DIV/0!</v>
      </c>
      <c r="O58" s="38" t="e">
        <f t="shared" si="1"/>
        <v>#DIV/0!</v>
      </c>
      <c r="P58" s="38" t="e">
        <f t="shared" si="1"/>
        <v>#DIV/0!</v>
      </c>
      <c r="Q58" s="40" t="e">
        <f>(Q52-M52)/M52</f>
        <v>#DIV/0!</v>
      </c>
    </row>
    <row r="59" spans="2:20" x14ac:dyDescent="0.3">
      <c r="B59" s="26" t="s">
        <v>41</v>
      </c>
      <c r="C59" s="57">
        <v>-320206</v>
      </c>
      <c r="D59" s="26">
        <v>879302.66666666698</v>
      </c>
      <c r="E59" s="26">
        <v>867850.51428571704</v>
      </c>
      <c r="F59" s="26">
        <v>1031760.96190476</v>
      </c>
      <c r="G59" s="26">
        <v>982315.761904757</v>
      </c>
      <c r="K59" s="21" t="s">
        <v>26</v>
      </c>
      <c r="L59" s="68" t="s">
        <v>27</v>
      </c>
      <c r="M59" s="38" t="e">
        <f t="shared" ref="M59:P59" si="2">(N53-M53)/M53</f>
        <v>#DIV/0!</v>
      </c>
      <c r="N59" s="38" t="e">
        <f t="shared" si="2"/>
        <v>#DIV/0!</v>
      </c>
      <c r="O59" s="38" t="e">
        <f t="shared" si="2"/>
        <v>#DIV/0!</v>
      </c>
      <c r="P59" s="38" t="e">
        <f t="shared" si="2"/>
        <v>#DIV/0!</v>
      </c>
      <c r="Q59" s="40" t="e">
        <f>(Q53-M53)/M53</f>
        <v>#DIV/0!</v>
      </c>
    </row>
    <row r="60" spans="2:20" x14ac:dyDescent="0.3">
      <c r="B60" s="69" t="s">
        <v>42</v>
      </c>
      <c r="C60" s="72">
        <v>-514574.6</v>
      </c>
      <c r="D60" s="69">
        <v>1006935.66666667</v>
      </c>
      <c r="E60" s="69">
        <v>994032.97142856696</v>
      </c>
      <c r="F60" s="69">
        <v>1181362.07619048</v>
      </c>
      <c r="G60" s="69">
        <v>1125512.4761904799</v>
      </c>
      <c r="H60"/>
      <c r="K60" s="21" t="s">
        <v>28</v>
      </c>
      <c r="L60" s="68" t="s">
        <v>29</v>
      </c>
      <c r="M60" s="38" t="e">
        <f t="shared" ref="M60:P60" si="3">(N54-M54)/M54</f>
        <v>#DIV/0!</v>
      </c>
      <c r="N60" s="38" t="e">
        <f t="shared" si="3"/>
        <v>#DIV/0!</v>
      </c>
      <c r="O60" s="38" t="e">
        <f t="shared" si="3"/>
        <v>#DIV/0!</v>
      </c>
      <c r="P60" s="38" t="e">
        <f t="shared" si="3"/>
        <v>#DIV/0!</v>
      </c>
      <c r="Q60" s="40" t="e">
        <f>(Q54-M54)/M54</f>
        <v>#DIV/0!</v>
      </c>
    </row>
    <row r="61" spans="2:20" x14ac:dyDescent="0.3">
      <c r="B61" s="69" t="s">
        <v>43</v>
      </c>
      <c r="C61" s="72">
        <v>-708943.2</v>
      </c>
      <c r="D61" s="69">
        <v>1134568.66666667</v>
      </c>
      <c r="E61" s="69">
        <v>1120215.42857143</v>
      </c>
      <c r="F61" s="69">
        <v>1330963.1904761901</v>
      </c>
      <c r="G61" s="69">
        <v>1268709.1904761901</v>
      </c>
      <c r="H61"/>
      <c r="K61" s="65"/>
      <c r="L61" s="23"/>
      <c r="M61" s="39"/>
      <c r="N61" s="39"/>
      <c r="O61" s="39"/>
      <c r="P61" s="39"/>
      <c r="Q61" s="39"/>
    </row>
    <row r="62" spans="2:20" s="42" customFormat="1" x14ac:dyDescent="0.3">
      <c r="B62" s="70" t="s">
        <v>44</v>
      </c>
      <c r="C62" s="71">
        <f>696950</f>
        <v>696950</v>
      </c>
      <c r="D62" s="71">
        <v>1262201.66666667</v>
      </c>
      <c r="E62" s="71">
        <v>1246397.88571429</v>
      </c>
      <c r="F62" s="71">
        <v>1480564.3047619101</v>
      </c>
      <c r="G62" s="71">
        <v>1411905.90476191</v>
      </c>
      <c r="I62"/>
      <c r="J62"/>
      <c r="K62"/>
      <c r="L62"/>
      <c r="M62"/>
      <c r="N62"/>
      <c r="O62"/>
      <c r="P62"/>
      <c r="Q62"/>
      <c r="R62"/>
      <c r="S62"/>
      <c r="T62"/>
    </row>
    <row r="63" spans="2:20" s="42" customFormat="1" x14ac:dyDescent="0.3">
      <c r="J63"/>
      <c r="K63"/>
      <c r="L63"/>
      <c r="M63"/>
      <c r="N63"/>
      <c r="O63"/>
      <c r="P63"/>
      <c r="Q63"/>
      <c r="R63"/>
      <c r="S63"/>
      <c r="T63"/>
    </row>
    <row r="64" spans="2:20" s="42" customFormat="1" x14ac:dyDescent="0.3">
      <c r="J64"/>
      <c r="K64"/>
      <c r="L64"/>
      <c r="M64"/>
      <c r="N64"/>
      <c r="O64"/>
      <c r="P64"/>
      <c r="Q64"/>
      <c r="R64"/>
      <c r="S64"/>
      <c r="T64"/>
    </row>
  </sheetData>
  <mergeCells count="2">
    <mergeCell ref="R18:R20"/>
    <mergeCell ref="R49:R51"/>
  </mergeCells>
  <phoneticPr fontId="22" type="noConversion"/>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Έγγραφο" ma:contentTypeID="0x0101006D732D850F7B1045827C703EBA872FC8" ma:contentTypeVersion="6" ma:contentTypeDescription="Δημιουργία νέου εγγράφου" ma:contentTypeScope="" ma:versionID="9ba12917126508a89a850747bd812af4">
  <xsd:schema xmlns:xsd="http://www.w3.org/2001/XMLSchema" xmlns:xs="http://www.w3.org/2001/XMLSchema" xmlns:p="http://schemas.microsoft.com/office/2006/metadata/properties" xmlns:ns3="a662eb3b-a1c5-4c8c-a9f3-d7f2c9096fd6" targetNamespace="http://schemas.microsoft.com/office/2006/metadata/properties" ma:root="true" ma:fieldsID="2dd32087a1be6402138500bd19e758ae" ns3:_="">
    <xsd:import namespace="a662eb3b-a1c5-4c8c-a9f3-d7f2c9096fd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62eb3b-a1c5-4c8c-a9f3-d7f2c9096f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662eb3b-a1c5-4c8c-a9f3-d7f2c9096fd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F9A90D-7A4C-4A4F-83B9-4E61033D27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62eb3b-a1c5-4c8c-a9f3-d7f2c9096f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F4B8D3-A898-478A-92E1-81A8462193CF}">
  <ds:schemaRefs>
    <ds:schemaRef ds:uri="http://schemas.microsoft.com/office/2006/metadata/properties"/>
    <ds:schemaRef ds:uri="a662eb3b-a1c5-4c8c-a9f3-d7f2c9096fd6"/>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56C07329-480F-4E07-B658-F83C7DD60E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2</vt:i4>
      </vt:variant>
    </vt:vector>
  </HeadingPairs>
  <TitlesOfParts>
    <vt:vector size="2" baseType="lpstr">
      <vt:lpstr>ρευστότητα</vt:lpstr>
      <vt:lpstr>LAGIOS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dc:creator>
  <cp:lastModifiedBy>Παναγιωτης Κωστ.</cp:lastModifiedBy>
  <dcterms:created xsi:type="dcterms:W3CDTF">2025-11-03T10:38:00Z</dcterms:created>
  <dcterms:modified xsi:type="dcterms:W3CDTF">2026-08-11T08:28:02Z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0x0101006D732D850F7B1045827C703EBA872FC8</vt:lpwstr>
  </property>
</Properties>
</file>