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Financial_Management/"/>
    </mc:Choice>
  </mc:AlternateContent>
  <xr:revisionPtr revIDLastSave="0" documentId="8_{719795DC-2545-476C-A08B-6B56C2412C0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Στοιχεία Φοιτητών" sheetId="7" r:id="rId1"/>
    <sheet name="Εκφώνηση  " sheetId="1" r:id="rId2"/>
    <sheet name="Ερώτηματα Α, Β, E " sheetId="5" r:id="rId3"/>
    <sheet name="Ερώτημα Γ, Δ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5" l="1"/>
  <c r="J14" i="5"/>
  <c r="J44" i="5"/>
  <c r="J40" i="5"/>
  <c r="F5" i="6"/>
  <c r="F30" i="6"/>
  <c r="F4" i="6"/>
  <c r="F31" i="6"/>
  <c r="E39" i="6"/>
  <c r="E40" i="6"/>
  <c r="F40" i="6" s="1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E52" i="6"/>
  <c r="E38" i="6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H26" i="6" s="1"/>
  <c r="E12" i="6"/>
  <c r="F12" i="6" s="1"/>
  <c r="F38" i="6"/>
  <c r="G20" i="6"/>
  <c r="G21" i="6"/>
  <c r="F39" i="6"/>
  <c r="F51" i="6"/>
  <c r="K51" i="6"/>
  <c r="F52" i="6"/>
  <c r="C32" i="6"/>
  <c r="G39" i="6" s="1"/>
  <c r="F19" i="6"/>
  <c r="K22" i="6"/>
  <c r="K23" i="6"/>
  <c r="C6" i="6"/>
  <c r="G26" i="6" s="1"/>
  <c r="D23" i="5"/>
  <c r="D22" i="5"/>
  <c r="I11" i="5" s="1"/>
  <c r="D46" i="5"/>
  <c r="D47" i="5" s="1"/>
  <c r="D21" i="5"/>
  <c r="G39" i="5"/>
  <c r="H39" i="5" s="1"/>
  <c r="D49" i="5"/>
  <c r="G38" i="5"/>
  <c r="G40" i="5"/>
  <c r="G41" i="5"/>
  <c r="G42" i="5"/>
  <c r="G43" i="5"/>
  <c r="G44" i="5"/>
  <c r="G37" i="5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37" i="5"/>
  <c r="F37" i="5"/>
  <c r="F11" i="5"/>
  <c r="E12" i="5"/>
  <c r="F12" i="5" s="1"/>
  <c r="H12" i="5" s="1"/>
  <c r="D48" i="5"/>
  <c r="I37" i="5" s="1"/>
  <c r="G12" i="5"/>
  <c r="G13" i="5"/>
  <c r="G14" i="5"/>
  <c r="G15" i="5"/>
  <c r="G16" i="5"/>
  <c r="G17" i="5"/>
  <c r="G18" i="5"/>
  <c r="G11" i="5"/>
  <c r="E11" i="5"/>
  <c r="E13" i="5"/>
  <c r="F13" i="5" s="1"/>
  <c r="E14" i="5"/>
  <c r="F14" i="5" s="1"/>
  <c r="H14" i="5" s="1"/>
  <c r="E15" i="5"/>
  <c r="F15" i="5" s="1"/>
  <c r="E16" i="5"/>
  <c r="F16" i="5" s="1"/>
  <c r="H16" i="5" s="1"/>
  <c r="E17" i="5"/>
  <c r="F17" i="5" s="1"/>
  <c r="E18" i="5"/>
  <c r="F18" i="5" s="1"/>
  <c r="H15" i="5" l="1"/>
  <c r="H37" i="5"/>
  <c r="I18" i="5"/>
  <c r="I17" i="5"/>
  <c r="I15" i="5"/>
  <c r="I14" i="5"/>
  <c r="H11" i="5"/>
  <c r="I13" i="5"/>
  <c r="I12" i="5"/>
  <c r="H18" i="5"/>
  <c r="H17" i="5"/>
  <c r="I16" i="5"/>
  <c r="G23" i="6"/>
  <c r="G22" i="6"/>
  <c r="G50" i="6"/>
  <c r="H50" i="6" s="1"/>
  <c r="K50" i="6"/>
  <c r="G45" i="6"/>
  <c r="H45" i="6" s="1"/>
  <c r="G17" i="6"/>
  <c r="H17" i="6" s="1"/>
  <c r="G44" i="6"/>
  <c r="H44" i="6" s="1"/>
  <c r="G49" i="6"/>
  <c r="H49" i="6" s="1"/>
  <c r="G48" i="6"/>
  <c r="H48" i="6" s="1"/>
  <c r="G46" i="6"/>
  <c r="G18" i="6"/>
  <c r="H18" i="6" s="1"/>
  <c r="H22" i="6"/>
  <c r="G16" i="6"/>
  <c r="H16" i="6" s="1"/>
  <c r="H21" i="6"/>
  <c r="G43" i="6"/>
  <c r="H43" i="6" s="1"/>
  <c r="H52" i="6"/>
  <c r="G47" i="6"/>
  <c r="H47" i="6" s="1"/>
  <c r="G15" i="6"/>
  <c r="H15" i="6" s="1"/>
  <c r="G42" i="6"/>
  <c r="H42" i="6" s="1"/>
  <c r="G12" i="6"/>
  <c r="H12" i="6" s="1"/>
  <c r="G14" i="6"/>
  <c r="H14" i="6" s="1"/>
  <c r="G38" i="6"/>
  <c r="G41" i="6"/>
  <c r="H41" i="6" s="1"/>
  <c r="G25" i="6"/>
  <c r="H25" i="6" s="1"/>
  <c r="G13" i="6"/>
  <c r="H13" i="6" s="1"/>
  <c r="G52" i="6"/>
  <c r="G40" i="6"/>
  <c r="H40" i="6" s="1"/>
  <c r="H46" i="6"/>
  <c r="G19" i="6"/>
  <c r="H19" i="6" s="1"/>
  <c r="H39" i="6"/>
  <c r="G24" i="6"/>
  <c r="H24" i="6" s="1"/>
  <c r="G51" i="6"/>
  <c r="H51" i="6" s="1"/>
  <c r="H20" i="6"/>
  <c r="H23" i="6"/>
  <c r="H38" i="6"/>
  <c r="I39" i="5"/>
  <c r="I44" i="5"/>
  <c r="I43" i="5"/>
  <c r="I42" i="5"/>
  <c r="I41" i="5"/>
  <c r="I40" i="5"/>
  <c r="I38" i="5"/>
  <c r="H13" i="5"/>
  <c r="H42" i="5"/>
  <c r="H38" i="5"/>
  <c r="H43" i="5"/>
  <c r="H40" i="5"/>
  <c r="H44" i="5"/>
  <c r="H4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Panagiotis Kostopoulos</author>
  </authors>
  <commentList>
    <comment ref="D22" authorId="0" shapeId="0" xr:uid="{8573F1A2-FECB-4E99-B17C-D42D1B8EB07C}">
      <text>
        <r>
          <rPr>
            <sz val="9"/>
            <color indexed="81"/>
            <rFont val="Tahoma"/>
            <family val="2"/>
            <charset val="161"/>
          </rPr>
          <t>Το ποσό που συνεισφέρει κάθε μονάδα προιόντος στην κάλυψη των σταθερών εξόδων</t>
        </r>
      </text>
    </comment>
    <comment ref="D48" authorId="0" shapeId="0" xr:uid="{7DE4B3BE-8051-47B0-94A8-1FDE5E95BEDD}">
      <text>
        <r>
          <rPr>
            <sz val="9"/>
            <color indexed="81"/>
            <rFont val="Tahoma"/>
            <family val="2"/>
            <charset val="161"/>
          </rPr>
          <t>Το ποσό που συνεισφέρει κάθε μονάδα προιόντος στην κάλυψη των σταθερών εξόδων</t>
        </r>
      </text>
    </comment>
  </commentList>
</comments>
</file>

<file path=xl/sharedStrings.xml><?xml version="1.0" encoding="utf-8"?>
<sst xmlns="http://schemas.openxmlformats.org/spreadsheetml/2006/main" count="118" uniqueCount="35">
  <si>
    <t>Εταιρεία Α</t>
  </si>
  <si>
    <t>Σταθερό Κόστος</t>
  </si>
  <si>
    <t>Μεταβλητό Κόστος / μονάδα</t>
  </si>
  <si>
    <t>Τιμή Πώλησης / μονάδα</t>
  </si>
  <si>
    <t xml:space="preserve">Παραγωγική Δυναμικότητα </t>
  </si>
  <si>
    <t>Εταιρεία Β</t>
  </si>
  <si>
    <t>€</t>
  </si>
  <si>
    <t>τεμάχια</t>
  </si>
  <si>
    <t xml:space="preserve">Α) Βρείτε το Νεκρό σημείο σε ποσότητα, σε αξία, σε ποσοστό επί των πωλήσεων καθώς και το περιθώριο συνεισφοράς και για τις δύο εταιρείες. </t>
  </si>
  <si>
    <t>Εκφώνηση και ερωτήματα</t>
  </si>
  <si>
    <t>Β) Στη συνέχεια παραστήσετε γραφικά το νεκρό σημείο των δύο επιχειρήσεων (ένα γράφημα για κάθε εταιρεία). Ποια επιχείρηση θεωρείτε ότι είναι πιο ευσταθής;</t>
  </si>
  <si>
    <t>Δ) Ποια είναι η τιμή που θα μπορεί να πουλήσει κάθε εταιρεία, προκειμένου να παράξει στο μέγιστο της παραγωγικής δυναμικότητάς της και χωρίς να έχει ζημία (sales target policy);</t>
  </si>
  <si>
    <t>Γ) Έστω ότι οι δυο εταιρείες αποφασίζουν να μειώσουν την τιμή πώλησης κατά 15%. Ποια επιχείρηση θα επηρεαστεί περισσότερο και με ποιο τρόπο;</t>
  </si>
  <si>
    <t>Για τις εταιρείες Α και Β, οι οποίες έχουν την ίδια τιμολογιακή πολιτική αλλά διαφορετική τεχνολογία παραγωγής, για το προϊόν ΑΒ, ισχύουν τα εξής:</t>
  </si>
  <si>
    <t>Ε) Λαμβάνοντας υπόψη τα δεδομένα του πρώτου ερωτήματος, υπολογίστε το περιθώριο επί του λειτουργικού αποτελέσματος  i) στις 6.000 πωλήσεις και ii) στις 14.000 πωλήσεις, για κάθε μια εταιρεία; Σχολιάστε τα αποτελέσματα.</t>
  </si>
  <si>
    <t>(σημείωση: θα πρέπει να υπολογίσετε τον χρηματοοικονομικό αριθμοδείκτη:  περιθώριο λειτουργικού αποτελέσματος = λειτουργικό αποτέλεσμα / πωλήσεις)</t>
  </si>
  <si>
    <t>Ποσότητα</t>
  </si>
  <si>
    <t>Fixed Cost</t>
  </si>
  <si>
    <t>Variable Cost</t>
  </si>
  <si>
    <t>Total Cost</t>
  </si>
  <si>
    <t>Total Reveneue</t>
  </si>
  <si>
    <t>Έσοδα - Έξοδα (λειτουργικό αποτέλεσμα)</t>
  </si>
  <si>
    <t>Contribution Margin</t>
  </si>
  <si>
    <t>Νεκρό σημείο σε ποσότητα (Q)</t>
  </si>
  <si>
    <t>Νεκρό σημείο σε αξία (S)</t>
  </si>
  <si>
    <t>Μονάδα συνεισφοράς</t>
  </si>
  <si>
    <t>Νεκρό σημείο σε ποσοστό επί των πωλήσεων</t>
  </si>
  <si>
    <t>Sales Target Policy</t>
  </si>
  <si>
    <t>Συνολικό κόστος για τα 14.000 τεμάχια</t>
  </si>
  <si>
    <t>Τιμή ανά τεμάχιο</t>
  </si>
  <si>
    <t xml:space="preserve">Περιθώριο Λειτουργικό Αποτελέσματος </t>
  </si>
  <si>
    <t xml:space="preserve">Ονοματεπώνυμα </t>
  </si>
  <si>
    <t>Α.Μ.</t>
  </si>
  <si>
    <t>Παναγιώτης Κωστόπουλος</t>
  </si>
  <si>
    <t>Σπύρος Ευτύχιος Λάγιος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</si>
</sst>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2"/>
      <color theme="1"/>
      <name val="Times New Roman"/>
      <family val="1"/>
      <charset val="161"/>
    </font>
    <font>
      <b/>
      <sz val="12"/>
      <color theme="1"/>
      <name val="Times New Roman"/>
      <family val="1"/>
      <charset val="161"/>
    </font>
    <font>
      <sz val="9"/>
      <color indexed="81"/>
      <name val="Tahoma"/>
      <family val="2"/>
      <charset val="16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  <charset val="161"/>
    </font>
    <font>
      <b/>
      <sz val="14"/>
      <color theme="1"/>
      <name val="Times New Roman"/>
      <family val="1"/>
      <charset val="161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 vertical="center"/>
    </xf>
    <xf numFmtId="0" fontId="1" fillId="3" borderId="6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3" borderId="7" xfId="0" applyFill="1" applyBorder="1"/>
    <xf numFmtId="0" fontId="0" fillId="3" borderId="3" xfId="0" applyFill="1" applyBorder="1"/>
    <xf numFmtId="0" fontId="0" fillId="3" borderId="8" xfId="0" applyFill="1" applyBorder="1"/>
    <xf numFmtId="3" fontId="0" fillId="3" borderId="4" xfId="0" applyNumberFormat="1" applyFill="1" applyBorder="1"/>
    <xf numFmtId="0" fontId="0" fillId="3" borderId="5" xfId="0" applyFill="1" applyBorder="1"/>
    <xf numFmtId="0" fontId="1" fillId="3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3" fontId="0" fillId="3" borderId="0" xfId="0" applyNumberFormat="1" applyFill="1"/>
    <xf numFmtId="0" fontId="0" fillId="2" borderId="3" xfId="0" applyFill="1" applyBorder="1"/>
    <xf numFmtId="0" fontId="1" fillId="2" borderId="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2" borderId="6" xfId="0" applyFont="1" applyFill="1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4" fontId="7" fillId="0" borderId="9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1" applyNumberFormat="1" applyFont="1" applyAlignment="1">
      <alignment horizontal="center" vertical="center"/>
    </xf>
    <xf numFmtId="0" fontId="7" fillId="0" borderId="0" xfId="0" applyFont="1"/>
    <xf numFmtId="2" fontId="7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10" fontId="8" fillId="0" borderId="9" xfId="1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4" fontId="5" fillId="7" borderId="9" xfId="0" applyNumberFormat="1" applyFont="1" applyFill="1" applyBorder="1" applyAlignment="1">
      <alignment horizontal="center" vertical="center"/>
    </xf>
    <xf numFmtId="10" fontId="5" fillId="7" borderId="9" xfId="1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 wrapText="1"/>
    </xf>
    <xf numFmtId="0" fontId="9" fillId="0" borderId="0" xfId="0" applyFont="1"/>
    <xf numFmtId="0" fontId="10" fillId="9" borderId="9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6" borderId="9" xfId="0" applyFont="1" applyFill="1" applyBorder="1" applyAlignment="1">
      <alignment horizontal="center" vertical="center"/>
    </xf>
  </cellXfs>
  <cellStyles count="2">
    <cellStyle name="Κανονικό" xfId="0" builtinId="0"/>
    <cellStyle name="Ποσοστό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Νεκρο</a:t>
            </a:r>
            <a:r>
              <a:rPr lang="el-GR" baseline="0"/>
              <a:t> σημείο Εταιρείας 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Cost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'Ερώτηματα Α, Β, E '!$C$11:$C$18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</c:numCache>
            </c:numRef>
          </c:cat>
          <c:val>
            <c:numRef>
              <c:f>'Ερώτηματα Α, Β, E '!$F$11:$F$18</c:f>
              <c:numCache>
                <c:formatCode>#,##0.00</c:formatCode>
                <c:ptCount val="8"/>
                <c:pt idx="0">
                  <c:v>60000</c:v>
                </c:pt>
                <c:pt idx="1">
                  <c:v>64000</c:v>
                </c:pt>
                <c:pt idx="2">
                  <c:v>68000</c:v>
                </c:pt>
                <c:pt idx="3">
                  <c:v>72000</c:v>
                </c:pt>
                <c:pt idx="4">
                  <c:v>76000</c:v>
                </c:pt>
                <c:pt idx="5">
                  <c:v>80000</c:v>
                </c:pt>
                <c:pt idx="6">
                  <c:v>84000</c:v>
                </c:pt>
                <c:pt idx="7">
                  <c:v>88000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E-4678-8E18-2FA6305EE057}"/>
            </c:ext>
          </c:extLst>
        </c:ser>
        <c:ser>
          <c:idx val="1"/>
          <c:order val="1"/>
          <c:tx>
            <c:v>Total Revenue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'Ερώτηματα Α, Β, E '!$C$11:$C$18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</c:numCache>
            </c:numRef>
          </c:cat>
          <c:val>
            <c:numRef>
              <c:f>'Ερώτηματα Α, Β, E '!$G$11:$G$18</c:f>
              <c:numCache>
                <c:formatCode>General</c:formatCode>
                <c:ptCount val="8"/>
                <c:pt idx="0">
                  <c:v>0</c:v>
                </c:pt>
                <c:pt idx="1">
                  <c:v>16000</c:v>
                </c:pt>
                <c:pt idx="2">
                  <c:v>32000</c:v>
                </c:pt>
                <c:pt idx="3">
                  <c:v>48000</c:v>
                </c:pt>
                <c:pt idx="4">
                  <c:v>64000</c:v>
                </c:pt>
                <c:pt idx="5">
                  <c:v>80000</c:v>
                </c:pt>
                <c:pt idx="6">
                  <c:v>96000</c:v>
                </c:pt>
                <c:pt idx="7">
                  <c:v>112000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E-4678-8E18-2FA6305EE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489487"/>
        <c:axId val="2072489967"/>
      </c:lineChart>
      <c:catAx>
        <c:axId val="207248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489967"/>
        <c:crosses val="autoZero"/>
        <c:auto val="1"/>
        <c:lblAlgn val="ctr"/>
        <c:lblOffset val="100"/>
        <c:noMultiLvlLbl val="0"/>
      </c:catAx>
      <c:valAx>
        <c:axId val="207248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48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Νεκρό</a:t>
            </a:r>
            <a:r>
              <a:rPr lang="el-GR" baseline="0"/>
              <a:t> σημείο Εταιρείας 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'Ερώτηματα Α, Β, E '!$F$36</c:f>
              <c:strCache>
                <c:ptCount val="1"/>
                <c:pt idx="0">
                  <c:v>Total 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'Ερώτηματα Α, Β, E '!$C$37:$C$44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</c:numCache>
            </c:numRef>
          </c:cat>
          <c:val>
            <c:numRef>
              <c:f>'Ερώτηματα Α, Β, E '!$F$37:$F$44</c:f>
              <c:numCache>
                <c:formatCode>#,##0.00</c:formatCode>
                <c:ptCount val="8"/>
                <c:pt idx="0">
                  <c:v>20000</c:v>
                </c:pt>
                <c:pt idx="1">
                  <c:v>26000</c:v>
                </c:pt>
                <c:pt idx="2">
                  <c:v>32000</c:v>
                </c:pt>
                <c:pt idx="3">
                  <c:v>38000</c:v>
                </c:pt>
                <c:pt idx="4">
                  <c:v>44000</c:v>
                </c:pt>
                <c:pt idx="5">
                  <c:v>50000</c:v>
                </c:pt>
                <c:pt idx="6">
                  <c:v>56000</c:v>
                </c:pt>
                <c:pt idx="7">
                  <c:v>62000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D-4F59-A597-B3C95660BD0F}"/>
            </c:ext>
          </c:extLst>
        </c:ser>
        <c:ser>
          <c:idx val="1"/>
          <c:order val="1"/>
          <c:tx>
            <c:strRef>
              <c:f>'Ερώτηματα Α, Β, E '!$G$36</c:f>
              <c:strCache>
                <c:ptCount val="1"/>
                <c:pt idx="0">
                  <c:v>Total Reveneue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'Ερώτηματα Α, Β, E '!$C$37:$C$44</c:f>
              <c:numCache>
                <c:formatCode>General</c:formatCode>
                <c:ptCount val="8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</c:numCache>
            </c:numRef>
          </c:cat>
          <c:val>
            <c:numRef>
              <c:f>'Ερώτηματα Α, Β, E '!$G$37:$G$44</c:f>
              <c:numCache>
                <c:formatCode>General</c:formatCode>
                <c:ptCount val="8"/>
                <c:pt idx="0">
                  <c:v>0</c:v>
                </c:pt>
                <c:pt idx="1">
                  <c:v>16000</c:v>
                </c:pt>
                <c:pt idx="2">
                  <c:v>32000</c:v>
                </c:pt>
                <c:pt idx="3">
                  <c:v>48000</c:v>
                </c:pt>
                <c:pt idx="4">
                  <c:v>64000</c:v>
                </c:pt>
                <c:pt idx="5">
                  <c:v>80000</c:v>
                </c:pt>
                <c:pt idx="6">
                  <c:v>96000</c:v>
                </c:pt>
                <c:pt idx="7">
                  <c:v>112000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D-4F59-A597-B3C95660B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693215"/>
        <c:axId val="1259693695"/>
      </c:lineChart>
      <c:catAx>
        <c:axId val="125969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59693695"/>
        <c:crosses val="autoZero"/>
        <c:auto val="1"/>
        <c:lblAlgn val="ctr"/>
        <c:lblOffset val="100"/>
        <c:noMultiLvlLbl val="0"/>
      </c:catAx>
      <c:valAx>
        <c:axId val="12596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5969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49711</xdr:colOff>
      <xdr:row>19</xdr:row>
      <xdr:rowOff>17520</xdr:rowOff>
    </xdr:from>
    <xdr:to>
      <xdr:col>7</xdr:col>
      <xdr:colOff>1712257</xdr:colOff>
      <xdr:row>33</xdr:row>
      <xdr:rowOff>9370</xdr:rowOff>
    </xdr:to>
    <xdr:graphicFrame macro="">
      <xdr:nvGraphicFramePr>
        <xdr:cNvPr id="402" name="Chart 1">
          <a:extLst>
            <a:ext uri="{FF2B5EF4-FFF2-40B4-BE49-F238E27FC236}">
              <a16:creationId xmlns:a16="http://schemas.microsoft.com/office/drawing/2014/main" id="{5F21AF0F-D63D-10EF-A35D-DF31DC69F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56028</xdr:colOff>
      <xdr:row>45</xdr:row>
      <xdr:rowOff>68354</xdr:rowOff>
    </xdr:from>
    <xdr:to>
      <xdr:col>7</xdr:col>
      <xdr:colOff>1949822</xdr:colOff>
      <xdr:row>60</xdr:row>
      <xdr:rowOff>123264</xdr:rowOff>
    </xdr:to>
    <xdr:graphicFrame macro="">
      <xdr:nvGraphicFramePr>
        <xdr:cNvPr id="56" name="Γράφημα 44">
          <a:extLst>
            <a:ext uri="{FF2B5EF4-FFF2-40B4-BE49-F238E27FC236}">
              <a16:creationId xmlns:a16="http://schemas.microsoft.com/office/drawing/2014/main" id="{946DB664-9C7E-B951-E4F0-CDA7C3AE6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67235</xdr:colOff>
      <xdr:row>20</xdr:row>
      <xdr:rowOff>134470</xdr:rowOff>
    </xdr:from>
    <xdr:to>
      <xdr:col>13</xdr:col>
      <xdr:colOff>1053353</xdr:colOff>
      <xdr:row>24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E4F75F-2BD9-9EF6-A9CE-9EE6B5E3E672}"/>
            </a:ext>
          </a:extLst>
        </xdr:cNvPr>
        <xdr:cNvSpPr txBox="1"/>
      </xdr:nvSpPr>
      <xdr:spPr>
        <a:xfrm>
          <a:off x="16360588" y="5502088"/>
          <a:ext cx="8482853" cy="1030941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400" b="1">
              <a:latin typeface="Times New Roman" panose="02020603050405020304" pitchFamily="18" charset="0"/>
              <a:cs typeface="Times New Roman" panose="02020603050405020304" pitchFamily="18" charset="0"/>
            </a:rPr>
            <a:t>Ερώτημα</a:t>
          </a:r>
          <a:r>
            <a:rPr lang="el-GR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Ε) </a:t>
          </a:r>
        </a:p>
        <a:p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Το αρνητικό περιθώριο στις 6.000 μονάδες δείχνει ότι η εταιρεία λειτουργεί κάτω από το Νεκρό σημείο, επομένως</a:t>
          </a:r>
          <a:r>
            <a:rPr lang="el-GR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βρίσκεται σε φάση ζημίας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r>
            <a:rPr lang="el-GR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Αντίθετα, η αύξηση στις 14.000 μονάδες λειτουργεί</a:t>
          </a:r>
          <a:r>
            <a:rPr lang="el-GR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πάνω από το Νεκρό σημείο, δηλαδή βρίσκεται σε φάση κερδοφορίας.</a:t>
          </a:r>
          <a:endParaRPr lang="el-GR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13</xdr:col>
      <xdr:colOff>986118</xdr:colOff>
      <xdr:row>48</xdr:row>
      <xdr:rowOff>56029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362129-F428-4781-9A84-459D978CC315}"/>
            </a:ext>
          </a:extLst>
        </xdr:cNvPr>
        <xdr:cNvSpPr txBox="1"/>
      </xdr:nvSpPr>
      <xdr:spPr>
        <a:xfrm>
          <a:off x="16293353" y="12539382"/>
          <a:ext cx="8482853" cy="1030941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400" b="1">
              <a:latin typeface="Times New Roman" panose="02020603050405020304" pitchFamily="18" charset="0"/>
              <a:cs typeface="Times New Roman" panose="02020603050405020304" pitchFamily="18" charset="0"/>
            </a:rPr>
            <a:t>Ερώτημα</a:t>
          </a:r>
          <a:r>
            <a:rPr lang="el-GR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Ε) </a:t>
          </a:r>
        </a:p>
        <a:p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Το θετικό περιθώριο στις 6.000 μονάδες δείχνει ότι η εταιρεία λειτουργεί πάνω από το Νεκρό σημείο, επομένως</a:t>
          </a:r>
          <a:r>
            <a:rPr lang="el-GR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βρίσκεται σε φάση κερδοφορίας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  <a:r>
            <a:rPr lang="el-GR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Επιπλέον</a:t>
          </a:r>
          <a:r>
            <a:rPr lang="el-GR" sz="1400" b="0">
              <a:latin typeface="Times New Roman" panose="02020603050405020304" pitchFamily="18" charset="0"/>
              <a:cs typeface="Times New Roman" panose="02020603050405020304" pitchFamily="18" charset="0"/>
            </a:rPr>
            <a:t>, η αύξηση στις 14.000 μονάδες δείχνει επίσης ότι λειτουργεί</a:t>
          </a:r>
          <a:r>
            <a:rPr lang="el-GR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πάνω από το Νεκρό σημείο, δηλαδή συνεχίζει να βρίσκεται σε φάση κερδοφορίας.</a:t>
          </a:r>
          <a:endParaRPr lang="el-GR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54</xdr:row>
      <xdr:rowOff>123263</xdr:rowOff>
    </xdr:from>
    <xdr:to>
      <xdr:col>8</xdr:col>
      <xdr:colOff>13854</xdr:colOff>
      <xdr:row>62</xdr:row>
      <xdr:rowOff>110835</xdr:rowOff>
    </xdr:to>
    <xdr:sp macro="" textlink="">
      <xdr:nvSpPr>
        <xdr:cNvPr id="14" name="TextBox 45">
          <a:extLst>
            <a:ext uri="{FF2B5EF4-FFF2-40B4-BE49-F238E27FC236}">
              <a16:creationId xmlns:a16="http://schemas.microsoft.com/office/drawing/2014/main" id="{C768BED6-EBAB-492C-95E8-33CA0EEE262B}"/>
            </a:ext>
          </a:extLst>
        </xdr:cNvPr>
        <xdr:cNvSpPr txBox="1"/>
      </xdr:nvSpPr>
      <xdr:spPr>
        <a:xfrm>
          <a:off x="2444461" y="14116354"/>
          <a:ext cx="10689648" cy="142844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Ερώτημα Γ)                                                                                                                                                                        </a:t>
          </a:r>
        </a:p>
        <a:p>
          <a:r>
            <a:rPr lang="el-G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Σύμφωνα με την θεωρία η</a:t>
          </a:r>
          <a:r>
            <a:rPr lang="el-GR" sz="1600">
              <a:latin typeface="Times New Roman" panose="02020603050405020304" pitchFamily="18" charset="0"/>
              <a:cs typeface="Times New Roman" panose="02020603050405020304" pitchFamily="18" charset="0"/>
            </a:rPr>
            <a:t> επιχείρηση υφίστανται ζημιές μέχρι του σημείου που τέμνονται η γραμμή των συνολικών εσόδων με τη γραμμή του συνολικού κόστους, δηλαδή μέχρι το νεκρό σημείο. </a:t>
          </a:r>
          <a:r>
            <a:rPr lang="el-GR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Η</a:t>
          </a:r>
          <a:r>
            <a:rPr lang="el-GR" sz="16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επιχείρηση που θα επηρεαστεί περισσότερο είναι η εταιρεία Α, διότι το νεκρό σημείο σε ποσοστό επί των πωλήσεων ανέρχεται στο 89,29%, έναντι της εταιρείας Β που είναι 39,29%.</a:t>
          </a:r>
          <a:endParaRPr lang="el-GR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85724</xdr:colOff>
      <xdr:row>64</xdr:row>
      <xdr:rowOff>133350</xdr:rowOff>
    </xdr:from>
    <xdr:to>
      <xdr:col>7</xdr:col>
      <xdr:colOff>1714499</xdr:colOff>
      <xdr:row>68</xdr:row>
      <xdr:rowOff>161925</xdr:rowOff>
    </xdr:to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519E4E5B-5ABC-D8D6-51FD-EA5D5B5348AB}"/>
            </a:ext>
          </a:extLst>
        </xdr:cNvPr>
        <xdr:cNvSpPr txBox="1"/>
      </xdr:nvSpPr>
      <xdr:spPr>
        <a:xfrm>
          <a:off x="2428874" y="16335375"/>
          <a:ext cx="10296525" cy="7905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400" b="1">
              <a:latin typeface="Times New Roman" panose="02020603050405020304" pitchFamily="18" charset="0"/>
              <a:cs typeface="Times New Roman" panose="02020603050405020304" pitchFamily="18" charset="0"/>
            </a:rPr>
            <a:t>Ερώτημα</a:t>
          </a:r>
          <a:r>
            <a:rPr lang="el-GR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Δ)</a:t>
          </a:r>
        </a:p>
        <a:p>
          <a:r>
            <a:rPr lang="el-GR" sz="14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Η τιμή που θα μπορεί να πουλήσει</a:t>
          </a:r>
          <a:r>
            <a:rPr lang="el-GR" sz="14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η</a:t>
          </a:r>
          <a:r>
            <a:rPr lang="el-GR" sz="14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εταιρεία Α, προκειμένου να παράξει στο μέγιστο της παραγωγικής δυναμικότητάς της και χωρίς να έχει ζημία (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sales target policy)</a:t>
          </a:r>
          <a:r>
            <a:rPr lang="el-GR" sz="14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είναι 6,29 €/τεμάχιο, ενώ για την εταιρεία Β είναι 4,43 </a:t>
          </a:r>
          <a:r>
            <a:rPr lang="el-GR" sz="14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€/τεμάχιο.</a:t>
          </a:r>
          <a:endParaRPr lang="el-GR" sz="1400" b="0" u="none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D941-B27B-455B-94B2-6F469701D996}">
  <dimension ref="B3:G7"/>
  <sheetViews>
    <sheetView zoomScale="130" zoomScaleNormal="130" workbookViewId="0"/>
  </sheetViews>
  <sheetFormatPr defaultRowHeight="14.4" x14ac:dyDescent="0.3"/>
  <cols>
    <col min="2" max="2" width="26.88671875" customWidth="1"/>
    <col min="3" max="3" width="33.109375" customWidth="1"/>
    <col min="4" max="4" width="31.33203125" customWidth="1"/>
  </cols>
  <sheetData>
    <row r="3" spans="2:7" ht="18" x14ac:dyDescent="0.35">
      <c r="B3" s="68" t="s">
        <v>31</v>
      </c>
      <c r="C3" s="69" t="s">
        <v>33</v>
      </c>
      <c r="D3" s="69" t="s">
        <v>34</v>
      </c>
      <c r="E3" s="67"/>
      <c r="F3" s="67"/>
      <c r="G3" s="67"/>
    </row>
    <row r="4" spans="2:7" ht="18" x14ac:dyDescent="0.35">
      <c r="B4" s="68" t="s">
        <v>32</v>
      </c>
      <c r="C4" s="69">
        <v>2020010013</v>
      </c>
      <c r="D4" s="69">
        <v>2020010080</v>
      </c>
      <c r="E4" s="67"/>
      <c r="F4" s="67"/>
      <c r="G4" s="67"/>
    </row>
    <row r="5" spans="2:7" ht="18" x14ac:dyDescent="0.35">
      <c r="B5" s="67"/>
      <c r="C5" s="67"/>
      <c r="D5" s="67"/>
      <c r="E5" s="67"/>
      <c r="F5" s="67"/>
      <c r="G5" s="67"/>
    </row>
    <row r="6" spans="2:7" ht="18" x14ac:dyDescent="0.35">
      <c r="B6" s="67"/>
      <c r="C6" s="67"/>
      <c r="D6" s="67"/>
      <c r="E6" s="67"/>
      <c r="F6" s="67"/>
      <c r="G6" s="67"/>
    </row>
    <row r="7" spans="2:7" ht="18" x14ac:dyDescent="0.35">
      <c r="B7" s="67"/>
      <c r="C7" s="67"/>
      <c r="D7" s="67"/>
      <c r="E7" s="67"/>
      <c r="F7" s="67"/>
      <c r="G7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"/>
  <sheetViews>
    <sheetView topLeftCell="B1" workbookViewId="0">
      <selection sqref="A1:P21"/>
    </sheetView>
  </sheetViews>
  <sheetFormatPr defaultRowHeight="14.4" x14ac:dyDescent="0.3"/>
  <cols>
    <col min="1" max="1" width="31.6640625" customWidth="1"/>
    <col min="2" max="2" width="18.109375" customWidth="1"/>
    <col min="3" max="3" width="12.44140625" customWidth="1"/>
    <col min="6" max="6" width="29.88671875" customWidth="1"/>
    <col min="12" max="12" width="30" customWidth="1"/>
    <col min="15" max="15" width="13.6640625" customWidth="1"/>
    <col min="16" max="16" width="6" customWidth="1"/>
  </cols>
  <sheetData>
    <row r="1" spans="1:16" ht="15.6" x14ac:dyDescent="0.3">
      <c r="A1" s="27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spans="1:16" x14ac:dyDescent="0.3">
      <c r="A2" s="14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3"/>
      <c r="N2" s="13"/>
      <c r="O2" s="13"/>
      <c r="P2" s="22"/>
    </row>
    <row r="3" spans="1:16" x14ac:dyDescent="0.3">
      <c r="A3" s="19" t="s">
        <v>13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3"/>
      <c r="N3" s="13"/>
      <c r="O3" s="13"/>
      <c r="P3" s="22"/>
    </row>
    <row r="4" spans="1:16" x14ac:dyDescent="0.3">
      <c r="A4" s="20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22"/>
    </row>
    <row r="5" spans="1:16" x14ac:dyDescent="0.3">
      <c r="A5" s="10" t="s">
        <v>0</v>
      </c>
      <c r="B5" s="11"/>
      <c r="C5" s="12"/>
      <c r="D5" s="13"/>
      <c r="E5" s="13"/>
      <c r="F5" s="10" t="s">
        <v>5</v>
      </c>
      <c r="G5" s="11"/>
      <c r="H5" s="12"/>
      <c r="I5" s="13"/>
      <c r="J5" s="13"/>
      <c r="K5" s="13"/>
      <c r="L5" s="13"/>
      <c r="M5" s="13"/>
      <c r="N5" s="13"/>
      <c r="O5" s="13"/>
      <c r="P5" s="22"/>
    </row>
    <row r="6" spans="1:16" x14ac:dyDescent="0.3">
      <c r="A6" s="14" t="s">
        <v>1</v>
      </c>
      <c r="B6" s="21">
        <v>60000</v>
      </c>
      <c r="C6" s="15" t="s">
        <v>6</v>
      </c>
      <c r="D6" s="13"/>
      <c r="E6" s="13"/>
      <c r="F6" s="14" t="s">
        <v>1</v>
      </c>
      <c r="G6" s="21">
        <v>20000</v>
      </c>
      <c r="H6" s="15" t="s">
        <v>6</v>
      </c>
      <c r="I6" s="13"/>
      <c r="J6" s="13"/>
      <c r="K6" s="13"/>
      <c r="L6" s="13"/>
      <c r="M6" s="13"/>
      <c r="N6" s="13"/>
      <c r="O6" s="13"/>
      <c r="P6" s="22"/>
    </row>
    <row r="7" spans="1:16" x14ac:dyDescent="0.3">
      <c r="A7" s="14" t="s">
        <v>2</v>
      </c>
      <c r="B7" s="13">
        <v>2</v>
      </c>
      <c r="C7" s="15" t="s">
        <v>6</v>
      </c>
      <c r="D7" s="13"/>
      <c r="E7" s="13"/>
      <c r="F7" s="14" t="s">
        <v>2</v>
      </c>
      <c r="G7" s="13">
        <v>3</v>
      </c>
      <c r="H7" s="15" t="s">
        <v>6</v>
      </c>
      <c r="I7" s="13"/>
      <c r="J7" s="13"/>
      <c r="K7" s="13"/>
      <c r="L7" s="13"/>
      <c r="M7" s="13"/>
      <c r="N7" s="13"/>
      <c r="O7" s="13"/>
      <c r="P7" s="22"/>
    </row>
    <row r="8" spans="1:16" x14ac:dyDescent="0.3">
      <c r="A8" s="14" t="s">
        <v>3</v>
      </c>
      <c r="B8" s="13">
        <v>8</v>
      </c>
      <c r="C8" s="15" t="s">
        <v>6</v>
      </c>
      <c r="D8" s="13"/>
      <c r="E8" s="13"/>
      <c r="F8" s="14" t="s">
        <v>3</v>
      </c>
      <c r="G8" s="13">
        <v>8</v>
      </c>
      <c r="H8" s="15" t="s">
        <v>6</v>
      </c>
      <c r="I8" s="13"/>
      <c r="J8" s="13"/>
      <c r="K8" s="13"/>
      <c r="L8" s="13"/>
      <c r="M8" s="13"/>
      <c r="N8" s="13"/>
      <c r="O8" s="13"/>
      <c r="P8" s="22"/>
    </row>
    <row r="9" spans="1:16" x14ac:dyDescent="0.3">
      <c r="A9" s="16" t="s">
        <v>4</v>
      </c>
      <c r="B9" s="17">
        <v>14000</v>
      </c>
      <c r="C9" s="18" t="s">
        <v>7</v>
      </c>
      <c r="D9" s="13"/>
      <c r="E9" s="13"/>
      <c r="F9" s="16" t="s">
        <v>4</v>
      </c>
      <c r="G9" s="17">
        <v>14000</v>
      </c>
      <c r="H9" s="18" t="s">
        <v>7</v>
      </c>
      <c r="I9" s="13"/>
      <c r="J9" s="13"/>
      <c r="K9" s="13"/>
      <c r="L9" s="13"/>
      <c r="M9" s="13"/>
      <c r="N9" s="13"/>
      <c r="O9" s="13"/>
      <c r="P9" s="22"/>
    </row>
    <row r="10" spans="1:16" x14ac:dyDescent="0.3">
      <c r="A10" s="14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22"/>
    </row>
    <row r="11" spans="1:16" s="6" customFormat="1" x14ac:dyDescent="0.3">
      <c r="A11" s="1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23"/>
    </row>
    <row r="12" spans="1:16" s="6" customFormat="1" x14ac:dyDescent="0.3">
      <c r="A12" s="1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23"/>
    </row>
    <row r="13" spans="1:16" s="6" customFormat="1" x14ac:dyDescent="0.3">
      <c r="A13" s="19" t="s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23"/>
    </row>
    <row r="14" spans="1:16" s="6" customFormat="1" x14ac:dyDescent="0.3">
      <c r="A14" s="1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23"/>
    </row>
    <row r="15" spans="1:16" s="6" customFormat="1" x14ac:dyDescent="0.3">
      <c r="A15" s="19" t="s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23"/>
    </row>
    <row r="16" spans="1:16" s="6" customFormat="1" x14ac:dyDescent="0.3">
      <c r="A16" s="1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23"/>
    </row>
    <row r="17" spans="1:18" s="6" customFormat="1" x14ac:dyDescent="0.3">
      <c r="A17" s="19" t="s">
        <v>11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23"/>
    </row>
    <row r="18" spans="1:18" s="6" customFormat="1" x14ac:dyDescent="0.3">
      <c r="A18" s="1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23"/>
      <c r="Q18" s="7"/>
      <c r="R18" s="7"/>
    </row>
    <row r="19" spans="1:18" s="6" customFormat="1" x14ac:dyDescent="0.3">
      <c r="A19" s="19" t="s">
        <v>14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23"/>
      <c r="Q19" s="7"/>
      <c r="R19" s="7"/>
    </row>
    <row r="20" spans="1:18" s="6" customFormat="1" x14ac:dyDescent="0.3">
      <c r="A20" s="19" t="s">
        <v>15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23"/>
    </row>
    <row r="21" spans="1:18" s="8" customFormat="1" x14ac:dyDescent="0.3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4"/>
    </row>
    <row r="22" spans="1:18" s="6" customForma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8" s="6" customForma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8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8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8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8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8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8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8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8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8" s="2" customForma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s="1" customForma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861F-6220-40C1-A61C-685BF7015859}">
  <dimension ref="B2:O51"/>
  <sheetViews>
    <sheetView topLeftCell="B44" zoomScale="55" zoomScaleNormal="55" workbookViewId="0">
      <selection sqref="A1:N62"/>
    </sheetView>
  </sheetViews>
  <sheetFormatPr defaultRowHeight="14.4" x14ac:dyDescent="0.3"/>
  <cols>
    <col min="2" max="2" width="27" customWidth="1"/>
    <col min="3" max="3" width="48" customWidth="1"/>
    <col min="4" max="7" width="26.88671875" customWidth="1"/>
    <col min="8" max="8" width="29.88671875" customWidth="1"/>
    <col min="9" max="9" width="22.6640625" customWidth="1"/>
    <col min="10" max="10" width="25.88671875" customWidth="1"/>
    <col min="12" max="12" width="29.109375" customWidth="1"/>
    <col min="13" max="13" width="48.44140625" customWidth="1"/>
    <col min="14" max="14" width="16" customWidth="1"/>
  </cols>
  <sheetData>
    <row r="2" spans="2:13" x14ac:dyDescent="0.3">
      <c r="B2" s="10" t="s">
        <v>0</v>
      </c>
      <c r="C2" s="11"/>
      <c r="D2" s="12"/>
    </row>
    <row r="3" spans="2:13" x14ac:dyDescent="0.3">
      <c r="B3" s="14" t="s">
        <v>1</v>
      </c>
      <c r="C3" s="21">
        <v>60000</v>
      </c>
      <c r="D3" s="15" t="s">
        <v>6</v>
      </c>
    </row>
    <row r="4" spans="2:13" x14ac:dyDescent="0.3">
      <c r="B4" s="14" t="s">
        <v>2</v>
      </c>
      <c r="C4" s="13">
        <v>2</v>
      </c>
      <c r="D4" s="15" t="s">
        <v>6</v>
      </c>
    </row>
    <row r="5" spans="2:13" x14ac:dyDescent="0.3">
      <c r="B5" s="14" t="s">
        <v>3</v>
      </c>
      <c r="C5" s="13">
        <v>8</v>
      </c>
      <c r="D5" s="15" t="s">
        <v>6</v>
      </c>
    </row>
    <row r="6" spans="2:13" x14ac:dyDescent="0.3">
      <c r="B6" s="16" t="s">
        <v>4</v>
      </c>
      <c r="C6" s="17">
        <v>14000</v>
      </c>
      <c r="D6" s="18" t="s">
        <v>7</v>
      </c>
    </row>
    <row r="9" spans="2:13" ht="38.25" customHeight="1" x14ac:dyDescent="0.3">
      <c r="B9" s="36" t="s">
        <v>0</v>
      </c>
      <c r="C9" s="30"/>
      <c r="D9" s="30"/>
      <c r="E9" s="30"/>
      <c r="F9" s="30"/>
      <c r="G9" s="30"/>
      <c r="H9" s="30"/>
      <c r="I9" s="28"/>
      <c r="J9" s="28"/>
      <c r="K9" s="28"/>
      <c r="M9" s="28"/>
    </row>
    <row r="10" spans="2:13" ht="42" customHeight="1" x14ac:dyDescent="0.3">
      <c r="B10" s="29"/>
      <c r="C10" s="35" t="s">
        <v>16</v>
      </c>
      <c r="D10" s="35" t="s">
        <v>17</v>
      </c>
      <c r="E10" s="35" t="s">
        <v>18</v>
      </c>
      <c r="F10" s="35" t="s">
        <v>19</v>
      </c>
      <c r="G10" s="35" t="s">
        <v>20</v>
      </c>
      <c r="H10" s="35" t="s">
        <v>21</v>
      </c>
      <c r="I10" s="40" t="s">
        <v>22</v>
      </c>
      <c r="J10" s="66" t="s">
        <v>30</v>
      </c>
      <c r="K10" s="28"/>
      <c r="M10" s="28"/>
    </row>
    <row r="11" spans="2:13" ht="23.25" customHeight="1" x14ac:dyDescent="0.3">
      <c r="B11" s="28"/>
      <c r="C11" s="31">
        <v>0</v>
      </c>
      <c r="D11" s="32">
        <v>60000</v>
      </c>
      <c r="E11" s="31">
        <f t="shared" ref="E11:E18" si="0">C11*$C$4</f>
        <v>0</v>
      </c>
      <c r="F11" s="32">
        <f>D11+E11</f>
        <v>60000</v>
      </c>
      <c r="G11" s="31">
        <f>$C$5*C11</f>
        <v>0</v>
      </c>
      <c r="H11" s="37">
        <f>G11-F11</f>
        <v>-60000</v>
      </c>
      <c r="I11" s="31">
        <f>$D$22*C11</f>
        <v>0</v>
      </c>
      <c r="J11" s="70"/>
      <c r="K11" s="28"/>
      <c r="M11" s="28"/>
    </row>
    <row r="12" spans="2:13" ht="23.25" customHeight="1" x14ac:dyDescent="0.3">
      <c r="B12" s="28"/>
      <c r="C12" s="31">
        <v>2000</v>
      </c>
      <c r="D12" s="32">
        <v>60000</v>
      </c>
      <c r="E12" s="31">
        <f>C12*$C$4</f>
        <v>4000</v>
      </c>
      <c r="F12" s="32">
        <f t="shared" ref="F12:F18" si="1">D12+E12</f>
        <v>64000</v>
      </c>
      <c r="G12" s="31">
        <f t="shared" ref="G12:G18" si="2">$C$5*C12</f>
        <v>16000</v>
      </c>
      <c r="H12" s="37">
        <f t="shared" ref="H12:H18" si="3">G12-F12</f>
        <v>-48000</v>
      </c>
      <c r="I12" s="31">
        <f t="shared" ref="I12:I18" si="4">$D$22*C12</f>
        <v>12000</v>
      </c>
      <c r="J12" s="71"/>
      <c r="K12" s="28"/>
      <c r="M12" s="28"/>
    </row>
    <row r="13" spans="2:13" ht="23.25" customHeight="1" x14ac:dyDescent="0.3">
      <c r="B13" s="28"/>
      <c r="C13" s="31">
        <v>4000</v>
      </c>
      <c r="D13" s="32">
        <v>60000</v>
      </c>
      <c r="E13" s="31">
        <f t="shared" si="0"/>
        <v>8000</v>
      </c>
      <c r="F13" s="32">
        <f t="shared" si="1"/>
        <v>68000</v>
      </c>
      <c r="G13" s="31">
        <f t="shared" si="2"/>
        <v>32000</v>
      </c>
      <c r="H13" s="37">
        <f t="shared" si="3"/>
        <v>-36000</v>
      </c>
      <c r="I13" s="31">
        <f t="shared" si="4"/>
        <v>24000</v>
      </c>
      <c r="J13" s="72"/>
      <c r="K13" s="28"/>
      <c r="M13" s="28"/>
    </row>
    <row r="14" spans="2:13" ht="23.25" customHeight="1" x14ac:dyDescent="0.3">
      <c r="B14" s="28"/>
      <c r="C14" s="31">
        <v>6000</v>
      </c>
      <c r="D14" s="32">
        <v>60000</v>
      </c>
      <c r="E14" s="31">
        <f t="shared" si="0"/>
        <v>12000</v>
      </c>
      <c r="F14" s="32">
        <f t="shared" si="1"/>
        <v>72000</v>
      </c>
      <c r="G14" s="31">
        <f t="shared" si="2"/>
        <v>48000</v>
      </c>
      <c r="H14" s="37">
        <f t="shared" si="3"/>
        <v>-24000</v>
      </c>
      <c r="I14" s="31">
        <f t="shared" si="4"/>
        <v>36000</v>
      </c>
      <c r="J14" s="33">
        <f>H14/C14</f>
        <v>-4</v>
      </c>
      <c r="K14" s="28"/>
      <c r="M14" s="28"/>
    </row>
    <row r="15" spans="2:13" ht="23.25" customHeight="1" x14ac:dyDescent="0.3">
      <c r="B15" s="28"/>
      <c r="C15" s="31">
        <v>8000</v>
      </c>
      <c r="D15" s="32">
        <v>60000</v>
      </c>
      <c r="E15" s="31">
        <f t="shared" si="0"/>
        <v>16000</v>
      </c>
      <c r="F15" s="32">
        <f t="shared" si="1"/>
        <v>76000</v>
      </c>
      <c r="G15" s="31">
        <f t="shared" si="2"/>
        <v>64000</v>
      </c>
      <c r="H15" s="37">
        <f t="shared" si="3"/>
        <v>-12000</v>
      </c>
      <c r="I15" s="31">
        <f t="shared" si="4"/>
        <v>48000</v>
      </c>
      <c r="J15" s="70"/>
      <c r="K15" s="28"/>
      <c r="M15" s="28"/>
    </row>
    <row r="16" spans="2:13" ht="23.25" customHeight="1" x14ac:dyDescent="0.3">
      <c r="B16" s="28"/>
      <c r="C16" s="33">
        <v>10000</v>
      </c>
      <c r="D16" s="34">
        <v>60000</v>
      </c>
      <c r="E16" s="33">
        <f t="shared" si="0"/>
        <v>20000</v>
      </c>
      <c r="F16" s="34">
        <f t="shared" si="1"/>
        <v>80000</v>
      </c>
      <c r="G16" s="33">
        <f t="shared" si="2"/>
        <v>80000</v>
      </c>
      <c r="H16" s="38">
        <f>G16-F16</f>
        <v>0</v>
      </c>
      <c r="I16" s="33">
        <f>$D$22*C16</f>
        <v>60000</v>
      </c>
      <c r="J16" s="71"/>
      <c r="K16" s="28"/>
      <c r="M16" s="28"/>
    </row>
    <row r="17" spans="2:15" ht="23.25" customHeight="1" x14ac:dyDescent="0.3">
      <c r="B17" s="28"/>
      <c r="C17" s="31">
        <v>12000</v>
      </c>
      <c r="D17" s="32">
        <v>60000</v>
      </c>
      <c r="E17" s="31">
        <f t="shared" si="0"/>
        <v>24000</v>
      </c>
      <c r="F17" s="32">
        <f t="shared" si="1"/>
        <v>84000</v>
      </c>
      <c r="G17" s="31">
        <f t="shared" si="2"/>
        <v>96000</v>
      </c>
      <c r="H17" s="37">
        <f t="shared" si="3"/>
        <v>12000</v>
      </c>
      <c r="I17" s="31">
        <f t="shared" si="4"/>
        <v>72000</v>
      </c>
      <c r="J17" s="72"/>
      <c r="K17" s="28"/>
      <c r="M17" s="28"/>
    </row>
    <row r="18" spans="2:15" ht="23.25" customHeight="1" x14ac:dyDescent="0.3">
      <c r="B18" s="28"/>
      <c r="C18" s="31">
        <v>14000</v>
      </c>
      <c r="D18" s="32">
        <v>60000</v>
      </c>
      <c r="E18" s="31">
        <f t="shared" si="0"/>
        <v>28000</v>
      </c>
      <c r="F18" s="32">
        <f t="shared" si="1"/>
        <v>88000</v>
      </c>
      <c r="G18" s="31">
        <f t="shared" si="2"/>
        <v>112000</v>
      </c>
      <c r="H18" s="37">
        <f t="shared" si="3"/>
        <v>24000</v>
      </c>
      <c r="I18" s="31">
        <f t="shared" si="4"/>
        <v>84000</v>
      </c>
      <c r="J18" s="38">
        <f>H18/C18</f>
        <v>1.7142857142857142</v>
      </c>
      <c r="K18" s="28"/>
      <c r="M18" s="28"/>
    </row>
    <row r="19" spans="2:15" ht="15.6" x14ac:dyDescent="0.3">
      <c r="B19" s="28"/>
      <c r="C19" s="28"/>
      <c r="D19" s="28"/>
      <c r="E19" s="28"/>
      <c r="F19" s="28"/>
      <c r="G19" s="28"/>
      <c r="H19" s="28"/>
      <c r="I19" s="28"/>
      <c r="J19" s="28"/>
      <c r="K19" s="28"/>
      <c r="M19" s="28"/>
    </row>
    <row r="20" spans="2:15" ht="23.25" customHeight="1" x14ac:dyDescent="0.3">
      <c r="B20" s="28"/>
      <c r="C20" s="63" t="s">
        <v>23</v>
      </c>
      <c r="D20" s="64">
        <v>10000</v>
      </c>
      <c r="E20" s="39"/>
      <c r="F20" s="39"/>
      <c r="G20" s="39"/>
      <c r="H20" s="39"/>
      <c r="I20" s="39"/>
      <c r="J20" s="28"/>
      <c r="K20" s="28"/>
      <c r="M20" s="52"/>
      <c r="N20" s="53"/>
      <c r="O20" s="28"/>
    </row>
    <row r="21" spans="2:15" ht="23.25" customHeight="1" x14ac:dyDescent="0.3">
      <c r="B21" s="28"/>
      <c r="C21" s="63" t="s">
        <v>24</v>
      </c>
      <c r="D21" s="63">
        <f>D20*C5</f>
        <v>80000</v>
      </c>
      <c r="E21" s="39"/>
      <c r="F21" s="39"/>
      <c r="G21" s="39"/>
      <c r="H21" s="39"/>
      <c r="I21" s="39"/>
      <c r="J21" s="28"/>
      <c r="K21" s="28"/>
      <c r="M21" s="52"/>
      <c r="N21" s="52"/>
      <c r="O21" s="52"/>
    </row>
    <row r="22" spans="2:15" ht="23.25" customHeight="1" x14ac:dyDescent="0.3">
      <c r="B22" s="28"/>
      <c r="C22" s="63" t="s">
        <v>25</v>
      </c>
      <c r="D22" s="63">
        <f>C5-C4</f>
        <v>6</v>
      </c>
      <c r="E22" s="39"/>
      <c r="F22" s="39"/>
      <c r="G22" s="39"/>
      <c r="H22" s="39"/>
      <c r="I22" s="39"/>
      <c r="J22" s="28"/>
      <c r="K22" s="28"/>
      <c r="M22" s="54"/>
      <c r="N22" s="55"/>
      <c r="O22" s="52"/>
    </row>
    <row r="23" spans="2:15" ht="23.25" customHeight="1" x14ac:dyDescent="0.3">
      <c r="B23" s="28"/>
      <c r="C23" s="63" t="s">
        <v>26</v>
      </c>
      <c r="D23" s="65">
        <f>C16/C6</f>
        <v>0.7142857142857143</v>
      </c>
      <c r="E23" s="39"/>
      <c r="F23" s="39"/>
      <c r="G23" s="39"/>
      <c r="H23" s="39"/>
      <c r="I23" s="39"/>
      <c r="J23" s="28"/>
      <c r="K23" s="28"/>
      <c r="O23" s="52"/>
    </row>
    <row r="24" spans="2:15" ht="23.25" customHeight="1" x14ac:dyDescent="0.3">
      <c r="B24" s="28"/>
      <c r="C24" s="39"/>
      <c r="D24" s="41"/>
      <c r="E24" s="39"/>
      <c r="F24" s="39"/>
      <c r="G24" s="39"/>
      <c r="H24" s="39"/>
      <c r="I24" s="39"/>
      <c r="J24" s="28"/>
      <c r="K24" s="28"/>
      <c r="L24" s="28"/>
      <c r="N24" s="52"/>
      <c r="O24" s="52"/>
    </row>
    <row r="25" spans="2:15" ht="23.25" customHeight="1" x14ac:dyDescent="0.3">
      <c r="B25" s="28"/>
      <c r="C25" s="39"/>
      <c r="D25" s="41"/>
      <c r="E25" s="39"/>
      <c r="F25" s="39"/>
      <c r="G25" s="39"/>
      <c r="H25" s="39"/>
      <c r="I25" s="39"/>
      <c r="J25" s="28"/>
      <c r="K25" s="28"/>
      <c r="L25" s="28"/>
      <c r="M25" s="28"/>
    </row>
    <row r="26" spans="2:15" ht="15.6" x14ac:dyDescent="0.3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2:15" ht="15.6" x14ac:dyDescent="0.3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2:15" ht="15.6" x14ac:dyDescent="0.3">
      <c r="B28" s="10" t="s">
        <v>5</v>
      </c>
      <c r="C28" s="11"/>
      <c r="D28" s="12"/>
      <c r="E28" s="28"/>
      <c r="F28" s="28"/>
      <c r="G28" s="28"/>
      <c r="H28" s="28"/>
      <c r="I28" s="28"/>
      <c r="J28" s="28"/>
      <c r="K28" s="28"/>
      <c r="M28" s="28"/>
    </row>
    <row r="29" spans="2:15" ht="15.6" x14ac:dyDescent="0.3">
      <c r="B29" s="14" t="s">
        <v>1</v>
      </c>
      <c r="C29" s="21">
        <v>20000</v>
      </c>
      <c r="D29" s="15" t="s">
        <v>6</v>
      </c>
      <c r="E29" s="28"/>
      <c r="F29" s="28"/>
      <c r="G29" s="28"/>
      <c r="H29" s="28"/>
      <c r="I29" s="28"/>
      <c r="J29" s="28"/>
      <c r="K29" s="28"/>
      <c r="M29" s="28"/>
    </row>
    <row r="30" spans="2:15" ht="15.6" x14ac:dyDescent="0.3">
      <c r="B30" s="14" t="s">
        <v>2</v>
      </c>
      <c r="C30" s="13">
        <v>3</v>
      </c>
      <c r="D30" s="15" t="s">
        <v>6</v>
      </c>
      <c r="E30" s="28"/>
      <c r="F30" s="28"/>
      <c r="G30" s="28"/>
      <c r="H30" s="28"/>
      <c r="I30" s="28"/>
      <c r="J30" s="28"/>
      <c r="K30" s="28"/>
      <c r="M30" s="28"/>
    </row>
    <row r="31" spans="2:15" ht="15.6" x14ac:dyDescent="0.3">
      <c r="B31" s="14" t="s">
        <v>3</v>
      </c>
      <c r="C31" s="13">
        <v>8</v>
      </c>
      <c r="D31" s="15" t="s">
        <v>6</v>
      </c>
      <c r="E31" s="28"/>
      <c r="F31" s="28"/>
      <c r="G31" s="28"/>
      <c r="H31" s="28"/>
      <c r="I31" s="28"/>
      <c r="J31" s="28"/>
      <c r="K31" s="28"/>
      <c r="M31" s="28"/>
    </row>
    <row r="32" spans="2:15" ht="15.6" x14ac:dyDescent="0.3">
      <c r="B32" s="16" t="s">
        <v>4</v>
      </c>
      <c r="C32" s="17">
        <v>14000</v>
      </c>
      <c r="D32" s="18" t="s">
        <v>7</v>
      </c>
      <c r="E32" s="28"/>
      <c r="F32" s="28"/>
      <c r="G32" s="28"/>
      <c r="H32" s="28"/>
      <c r="I32" s="28"/>
      <c r="J32" s="28"/>
      <c r="K32" s="28"/>
      <c r="M32" s="28"/>
    </row>
    <row r="33" spans="2:14" ht="15.6" x14ac:dyDescent="0.3"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2:14" ht="15.6" x14ac:dyDescent="0.3"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 spans="2:14" ht="33" customHeight="1" x14ac:dyDescent="0.3">
      <c r="B35" s="36" t="s">
        <v>5</v>
      </c>
      <c r="C35" s="30"/>
      <c r="D35" s="30"/>
      <c r="E35" s="30"/>
      <c r="F35" s="30"/>
      <c r="G35" s="30"/>
      <c r="H35" s="30"/>
      <c r="I35" s="28"/>
      <c r="J35" s="28"/>
      <c r="K35" s="28"/>
      <c r="L35" s="28"/>
      <c r="M35" s="28"/>
    </row>
    <row r="36" spans="2:14" ht="44.25" customHeight="1" x14ac:dyDescent="0.3">
      <c r="B36" s="29"/>
      <c r="C36" s="35" t="s">
        <v>16</v>
      </c>
      <c r="D36" s="35" t="s">
        <v>17</v>
      </c>
      <c r="E36" s="35" t="s">
        <v>18</v>
      </c>
      <c r="F36" s="35" t="s">
        <v>19</v>
      </c>
      <c r="G36" s="35" t="s">
        <v>20</v>
      </c>
      <c r="H36" s="35" t="s">
        <v>21</v>
      </c>
      <c r="I36" s="40" t="s">
        <v>22</v>
      </c>
      <c r="J36" s="66" t="s">
        <v>30</v>
      </c>
      <c r="K36" s="28"/>
      <c r="L36" s="28"/>
      <c r="M36" s="28"/>
    </row>
    <row r="37" spans="2:14" ht="25.5" customHeight="1" x14ac:dyDescent="0.3">
      <c r="B37" s="28"/>
      <c r="C37" s="31">
        <v>0</v>
      </c>
      <c r="D37" s="32">
        <v>20000</v>
      </c>
      <c r="E37" s="31">
        <f t="shared" ref="E37:E44" si="5">C37*$C$30</f>
        <v>0</v>
      </c>
      <c r="F37" s="32">
        <f>D37+E37</f>
        <v>20000</v>
      </c>
      <c r="G37" s="31">
        <f t="shared" ref="G37:G44" si="6">$C$31*C37</f>
        <v>0</v>
      </c>
      <c r="H37" s="37">
        <f>G37-F37</f>
        <v>-20000</v>
      </c>
      <c r="I37" s="31">
        <f t="shared" ref="I37:I44" si="7">$D$48*C37</f>
        <v>0</v>
      </c>
      <c r="J37" s="73"/>
      <c r="K37" s="28"/>
      <c r="L37" s="28"/>
      <c r="M37" s="28"/>
    </row>
    <row r="38" spans="2:14" ht="25.5" customHeight="1" x14ac:dyDescent="0.3">
      <c r="B38" s="28"/>
      <c r="C38" s="31">
        <v>2000</v>
      </c>
      <c r="D38" s="32">
        <v>20000</v>
      </c>
      <c r="E38" s="31">
        <f t="shared" si="5"/>
        <v>6000</v>
      </c>
      <c r="F38" s="32">
        <f>D38+E38</f>
        <v>26000</v>
      </c>
      <c r="G38" s="31">
        <f t="shared" si="6"/>
        <v>16000</v>
      </c>
      <c r="H38" s="37">
        <f t="shared" ref="H38:H44" si="8">G38-F38</f>
        <v>-10000</v>
      </c>
      <c r="I38" s="31">
        <f t="shared" si="7"/>
        <v>10000</v>
      </c>
      <c r="J38" s="74"/>
      <c r="K38" s="28"/>
      <c r="L38" s="28"/>
      <c r="M38" s="28"/>
    </row>
    <row r="39" spans="2:14" ht="25.5" customHeight="1" x14ac:dyDescent="0.3">
      <c r="B39" s="28"/>
      <c r="C39" s="33">
        <v>4000</v>
      </c>
      <c r="D39" s="34">
        <v>20000</v>
      </c>
      <c r="E39" s="33">
        <f t="shared" si="5"/>
        <v>12000</v>
      </c>
      <c r="F39" s="34">
        <f t="shared" ref="F39:F44" si="9">D39+E39</f>
        <v>32000</v>
      </c>
      <c r="G39" s="33">
        <f t="shared" si="6"/>
        <v>32000</v>
      </c>
      <c r="H39" s="38">
        <f>G39-F39</f>
        <v>0</v>
      </c>
      <c r="I39" s="33">
        <f t="shared" si="7"/>
        <v>20000</v>
      </c>
      <c r="J39" s="75"/>
      <c r="K39" s="28"/>
      <c r="L39" s="28"/>
      <c r="M39" s="28"/>
    </row>
    <row r="40" spans="2:14" ht="25.5" customHeight="1" x14ac:dyDescent="0.3">
      <c r="B40" s="28"/>
      <c r="C40" s="31">
        <v>6000</v>
      </c>
      <c r="D40" s="32">
        <v>20000</v>
      </c>
      <c r="E40" s="31">
        <f t="shared" si="5"/>
        <v>18000</v>
      </c>
      <c r="F40" s="32">
        <f t="shared" si="9"/>
        <v>38000</v>
      </c>
      <c r="G40" s="31">
        <f t="shared" si="6"/>
        <v>48000</v>
      </c>
      <c r="H40" s="37">
        <f t="shared" si="8"/>
        <v>10000</v>
      </c>
      <c r="I40" s="31">
        <f t="shared" si="7"/>
        <v>30000</v>
      </c>
      <c r="J40" s="38">
        <f>H40/C40</f>
        <v>1.6666666666666667</v>
      </c>
      <c r="K40" s="28"/>
      <c r="L40" s="28"/>
      <c r="M40" s="28"/>
    </row>
    <row r="41" spans="2:14" ht="25.5" customHeight="1" x14ac:dyDescent="0.3">
      <c r="B41" s="28"/>
      <c r="C41" s="31">
        <v>8000</v>
      </c>
      <c r="D41" s="32">
        <v>20000</v>
      </c>
      <c r="E41" s="31">
        <f t="shared" si="5"/>
        <v>24000</v>
      </c>
      <c r="F41" s="32">
        <f t="shared" si="9"/>
        <v>44000</v>
      </c>
      <c r="G41" s="31">
        <f t="shared" si="6"/>
        <v>64000</v>
      </c>
      <c r="H41" s="37">
        <f t="shared" si="8"/>
        <v>20000</v>
      </c>
      <c r="I41" s="31">
        <f t="shared" si="7"/>
        <v>40000</v>
      </c>
      <c r="J41" s="73"/>
      <c r="K41" s="28"/>
      <c r="L41" s="28"/>
    </row>
    <row r="42" spans="2:14" ht="25.5" customHeight="1" x14ac:dyDescent="0.3">
      <c r="B42" s="28"/>
      <c r="C42" s="31">
        <v>10000</v>
      </c>
      <c r="D42" s="32">
        <v>20000</v>
      </c>
      <c r="E42" s="42">
        <f t="shared" si="5"/>
        <v>30000</v>
      </c>
      <c r="F42" s="32">
        <f t="shared" si="9"/>
        <v>50000</v>
      </c>
      <c r="G42" s="42">
        <f t="shared" si="6"/>
        <v>80000</v>
      </c>
      <c r="H42" s="37">
        <f>G42-F42</f>
        <v>30000</v>
      </c>
      <c r="I42" s="31">
        <f t="shared" si="7"/>
        <v>50000</v>
      </c>
      <c r="J42" s="74"/>
      <c r="K42" s="28"/>
      <c r="L42" s="28"/>
    </row>
    <row r="43" spans="2:14" ht="25.5" customHeight="1" x14ac:dyDescent="0.3">
      <c r="B43" s="28"/>
      <c r="C43" s="31">
        <v>12000</v>
      </c>
      <c r="D43" s="32">
        <v>20000</v>
      </c>
      <c r="E43" s="31">
        <f t="shared" si="5"/>
        <v>36000</v>
      </c>
      <c r="F43" s="32">
        <f t="shared" si="9"/>
        <v>56000</v>
      </c>
      <c r="G43" s="31">
        <f t="shared" si="6"/>
        <v>96000</v>
      </c>
      <c r="H43" s="37">
        <f t="shared" si="8"/>
        <v>40000</v>
      </c>
      <c r="I43" s="31">
        <f t="shared" si="7"/>
        <v>60000</v>
      </c>
      <c r="J43" s="75"/>
      <c r="K43" s="28"/>
      <c r="L43" s="28"/>
    </row>
    <row r="44" spans="2:14" ht="25.5" customHeight="1" x14ac:dyDescent="0.3">
      <c r="B44" s="28"/>
      <c r="C44" s="31">
        <v>14000</v>
      </c>
      <c r="D44" s="32">
        <v>20000</v>
      </c>
      <c r="E44" s="31">
        <f t="shared" si="5"/>
        <v>42000</v>
      </c>
      <c r="F44" s="32">
        <f t="shared" si="9"/>
        <v>62000</v>
      </c>
      <c r="G44" s="31">
        <f t="shared" si="6"/>
        <v>112000</v>
      </c>
      <c r="H44" s="37">
        <f t="shared" si="8"/>
        <v>50000</v>
      </c>
      <c r="I44" s="31">
        <f t="shared" si="7"/>
        <v>70000</v>
      </c>
      <c r="J44" s="38">
        <f>H44/C44</f>
        <v>3.5714285714285716</v>
      </c>
    </row>
    <row r="45" spans="2:14" ht="25.5" customHeight="1" x14ac:dyDescent="0.3">
      <c r="B45" s="28"/>
      <c r="C45" s="28"/>
      <c r="D45" s="28"/>
      <c r="E45" s="28"/>
      <c r="F45" s="28"/>
      <c r="G45" s="28"/>
      <c r="H45" s="28"/>
      <c r="I45" s="28"/>
    </row>
    <row r="46" spans="2:14" ht="25.5" customHeight="1" x14ac:dyDescent="0.3">
      <c r="B46" s="28"/>
      <c r="C46" s="63" t="s">
        <v>23</v>
      </c>
      <c r="D46" s="64">
        <f>C39</f>
        <v>4000</v>
      </c>
      <c r="E46" s="39"/>
      <c r="F46" s="39"/>
      <c r="G46" s="39"/>
      <c r="H46" s="39"/>
      <c r="I46" s="39"/>
    </row>
    <row r="47" spans="2:14" ht="25.5" customHeight="1" x14ac:dyDescent="0.3">
      <c r="B47" s="28"/>
      <c r="C47" s="63" t="s">
        <v>24</v>
      </c>
      <c r="D47" s="63">
        <f>D46*C31</f>
        <v>32000</v>
      </c>
      <c r="E47" s="39"/>
      <c r="F47" s="39"/>
      <c r="G47" s="39"/>
      <c r="H47" s="39"/>
      <c r="I47" s="39"/>
    </row>
    <row r="48" spans="2:14" ht="25.5" customHeight="1" x14ac:dyDescent="0.3">
      <c r="B48" s="28"/>
      <c r="C48" s="63" t="s">
        <v>25</v>
      </c>
      <c r="D48" s="63">
        <f>C31-C30</f>
        <v>5</v>
      </c>
      <c r="E48" s="39"/>
      <c r="F48" s="39"/>
      <c r="G48" s="39"/>
      <c r="H48" s="39"/>
      <c r="I48" s="39"/>
      <c r="M48" s="52"/>
      <c r="N48" s="53"/>
    </row>
    <row r="49" spans="2:14" ht="25.5" customHeight="1" x14ac:dyDescent="0.3">
      <c r="B49" s="28"/>
      <c r="C49" s="63" t="s">
        <v>26</v>
      </c>
      <c r="D49" s="65">
        <f>C39/C32</f>
        <v>0.2857142857142857</v>
      </c>
      <c r="E49" s="39"/>
      <c r="F49" s="39"/>
      <c r="G49" s="39"/>
      <c r="H49" s="39"/>
      <c r="I49" s="39"/>
      <c r="M49" s="52"/>
      <c r="N49" s="52"/>
    </row>
    <row r="50" spans="2:14" ht="25.5" customHeight="1" x14ac:dyDescent="0.3">
      <c r="M50" s="54"/>
      <c r="N50" s="55"/>
    </row>
    <row r="51" spans="2:14" ht="25.5" customHeight="1" x14ac:dyDescent="0.3"/>
  </sheetData>
  <mergeCells count="4">
    <mergeCell ref="J11:J13"/>
    <mergeCell ref="J15:J17"/>
    <mergeCell ref="J37:J39"/>
    <mergeCell ref="J41:J4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680E-019F-4122-8F3E-5E39DDA336FF}">
  <dimension ref="B3:L52"/>
  <sheetViews>
    <sheetView tabSelected="1" zoomScale="55" zoomScaleNormal="55" workbookViewId="0">
      <selection activeCell="Q16" sqref="Q16"/>
    </sheetView>
  </sheetViews>
  <sheetFormatPr defaultRowHeight="14.4" x14ac:dyDescent="0.3"/>
  <cols>
    <col min="2" max="8" width="26" customWidth="1"/>
    <col min="9" max="9" width="11" customWidth="1"/>
    <col min="10" max="10" width="46.44140625" bestFit="1" customWidth="1"/>
    <col min="11" max="11" width="11.109375" customWidth="1"/>
  </cols>
  <sheetData>
    <row r="3" spans="2:10" ht="15.6" x14ac:dyDescent="0.3">
      <c r="B3" s="10" t="s">
        <v>0</v>
      </c>
      <c r="C3" s="11"/>
      <c r="D3" s="12"/>
      <c r="E3" s="76" t="s">
        <v>27</v>
      </c>
      <c r="F3" s="76"/>
    </row>
    <row r="4" spans="2:10" ht="30.75" customHeight="1" x14ac:dyDescent="0.3">
      <c r="B4" s="14" t="s">
        <v>1</v>
      </c>
      <c r="C4" s="21">
        <v>60000</v>
      </c>
      <c r="D4" s="15" t="s">
        <v>6</v>
      </c>
      <c r="E4" s="29" t="s">
        <v>28</v>
      </c>
      <c r="F4" s="61">
        <f>F26</f>
        <v>88000</v>
      </c>
    </row>
    <row r="5" spans="2:10" ht="21.75" customHeight="1" x14ac:dyDescent="0.3">
      <c r="B5" s="14" t="s">
        <v>2</v>
      </c>
      <c r="C5" s="13">
        <v>2</v>
      </c>
      <c r="D5" s="15" t="s">
        <v>6</v>
      </c>
      <c r="E5" s="33" t="s">
        <v>29</v>
      </c>
      <c r="F5" s="62">
        <f>F4/C7</f>
        <v>6.2857142857142856</v>
      </c>
    </row>
    <row r="6" spans="2:10" ht="21.75" customHeight="1" x14ac:dyDescent="0.3">
      <c r="B6" s="14" t="s">
        <v>3</v>
      </c>
      <c r="C6" s="13">
        <f>8*(0.85)</f>
        <v>6.8</v>
      </c>
      <c r="D6" s="15" t="s">
        <v>6</v>
      </c>
    </row>
    <row r="7" spans="2:10" ht="21.75" customHeight="1" x14ac:dyDescent="0.3">
      <c r="B7" s="16" t="s">
        <v>4</v>
      </c>
      <c r="C7" s="17">
        <v>14000</v>
      </c>
      <c r="D7" s="18" t="s">
        <v>7</v>
      </c>
    </row>
    <row r="10" spans="2:10" ht="36" customHeight="1" x14ac:dyDescent="0.3">
      <c r="B10" s="43" t="s">
        <v>0</v>
      </c>
      <c r="C10" s="44"/>
      <c r="D10" s="44"/>
      <c r="E10" s="44"/>
      <c r="F10" s="44"/>
      <c r="G10" s="44"/>
      <c r="H10" s="44"/>
      <c r="I10" s="44"/>
      <c r="J10" s="56"/>
    </row>
    <row r="11" spans="2:10" ht="54" customHeight="1" x14ac:dyDescent="0.3">
      <c r="B11" s="45"/>
      <c r="C11" s="46" t="s">
        <v>16</v>
      </c>
      <c r="D11" s="46" t="s">
        <v>17</v>
      </c>
      <c r="E11" s="46" t="s">
        <v>18</v>
      </c>
      <c r="F11" s="46" t="s">
        <v>19</v>
      </c>
      <c r="G11" s="46" t="s">
        <v>20</v>
      </c>
      <c r="H11" s="46" t="s">
        <v>21</v>
      </c>
      <c r="I11" s="59"/>
      <c r="J11" s="56"/>
    </row>
    <row r="12" spans="2:10" ht="18.75" customHeight="1" x14ac:dyDescent="0.3">
      <c r="B12" s="56"/>
      <c r="C12" s="42">
        <v>0</v>
      </c>
      <c r="D12" s="47">
        <v>60000</v>
      </c>
      <c r="E12" s="42">
        <f t="shared" ref="E12:E26" si="0">C12*$C$5</f>
        <v>0</v>
      </c>
      <c r="F12" s="47">
        <f t="shared" ref="F12:F26" si="1">D12+E12</f>
        <v>60000</v>
      </c>
      <c r="G12" s="42">
        <f t="shared" ref="G12:G26" si="2">$C$6*C12</f>
        <v>0</v>
      </c>
      <c r="H12" s="48">
        <f t="shared" ref="H12:H26" si="3">G12-F12</f>
        <v>-60000</v>
      </c>
      <c r="I12" s="57"/>
      <c r="J12" s="56"/>
    </row>
    <row r="13" spans="2:10" ht="18.75" customHeight="1" x14ac:dyDescent="0.3">
      <c r="B13" s="56"/>
      <c r="C13" s="42">
        <v>1000</v>
      </c>
      <c r="D13" s="47">
        <v>60000</v>
      </c>
      <c r="E13" s="42">
        <f t="shared" si="0"/>
        <v>2000</v>
      </c>
      <c r="F13" s="47">
        <f t="shared" si="1"/>
        <v>62000</v>
      </c>
      <c r="G13" s="42">
        <f t="shared" si="2"/>
        <v>6800</v>
      </c>
      <c r="H13" s="48">
        <f t="shared" si="3"/>
        <v>-55200</v>
      </c>
      <c r="I13" s="57"/>
      <c r="J13" s="56"/>
    </row>
    <row r="14" spans="2:10" ht="18.75" customHeight="1" x14ac:dyDescent="0.3">
      <c r="B14" s="56"/>
      <c r="C14" s="42">
        <v>2000</v>
      </c>
      <c r="D14" s="47">
        <v>60000</v>
      </c>
      <c r="E14" s="42">
        <f t="shared" si="0"/>
        <v>4000</v>
      </c>
      <c r="F14" s="47">
        <f t="shared" si="1"/>
        <v>64000</v>
      </c>
      <c r="G14" s="42">
        <f t="shared" si="2"/>
        <v>13600</v>
      </c>
      <c r="H14" s="48">
        <f t="shared" si="3"/>
        <v>-50400</v>
      </c>
      <c r="I14" s="57"/>
      <c r="J14" s="56"/>
    </row>
    <row r="15" spans="2:10" ht="18.75" customHeight="1" x14ac:dyDescent="0.3">
      <c r="B15" s="56"/>
      <c r="C15" s="42">
        <v>3000</v>
      </c>
      <c r="D15" s="47">
        <v>60000</v>
      </c>
      <c r="E15" s="42">
        <f t="shared" si="0"/>
        <v>6000</v>
      </c>
      <c r="F15" s="47">
        <f t="shared" si="1"/>
        <v>66000</v>
      </c>
      <c r="G15" s="42">
        <f t="shared" si="2"/>
        <v>20400</v>
      </c>
      <c r="H15" s="48">
        <f t="shared" si="3"/>
        <v>-45600</v>
      </c>
      <c r="I15" s="57"/>
      <c r="J15" s="56"/>
    </row>
    <row r="16" spans="2:10" ht="18.75" customHeight="1" x14ac:dyDescent="0.3">
      <c r="B16" s="56"/>
      <c r="C16" s="42">
        <v>4000</v>
      </c>
      <c r="D16" s="47">
        <v>60000</v>
      </c>
      <c r="E16" s="42">
        <f t="shared" si="0"/>
        <v>8000</v>
      </c>
      <c r="F16" s="47">
        <f t="shared" si="1"/>
        <v>68000</v>
      </c>
      <c r="G16" s="42">
        <f t="shared" si="2"/>
        <v>27200</v>
      </c>
      <c r="H16" s="48">
        <f t="shared" si="3"/>
        <v>-40800</v>
      </c>
      <c r="I16" s="57"/>
      <c r="J16" s="56"/>
    </row>
    <row r="17" spans="2:12" ht="18.75" customHeight="1" x14ac:dyDescent="0.3">
      <c r="B17" s="56"/>
      <c r="C17" s="42">
        <v>5000</v>
      </c>
      <c r="D17" s="47">
        <v>60000</v>
      </c>
      <c r="E17" s="42">
        <f t="shared" si="0"/>
        <v>10000</v>
      </c>
      <c r="F17" s="47">
        <f t="shared" si="1"/>
        <v>70000</v>
      </c>
      <c r="G17" s="42">
        <f t="shared" si="2"/>
        <v>34000</v>
      </c>
      <c r="H17" s="48">
        <f t="shared" si="3"/>
        <v>-36000</v>
      </c>
      <c r="I17" s="57"/>
      <c r="J17" s="56"/>
    </row>
    <row r="18" spans="2:12" ht="18.75" customHeight="1" x14ac:dyDescent="0.3">
      <c r="B18" s="56"/>
      <c r="C18" s="42">
        <v>6000</v>
      </c>
      <c r="D18" s="47">
        <v>60000</v>
      </c>
      <c r="E18" s="42">
        <f t="shared" si="0"/>
        <v>12000</v>
      </c>
      <c r="F18" s="47">
        <f t="shared" si="1"/>
        <v>72000</v>
      </c>
      <c r="G18" s="42">
        <f t="shared" si="2"/>
        <v>40800</v>
      </c>
      <c r="H18" s="48">
        <f t="shared" si="3"/>
        <v>-31200</v>
      </c>
      <c r="I18" s="57"/>
      <c r="J18" s="56"/>
    </row>
    <row r="19" spans="2:12" ht="18.75" customHeight="1" x14ac:dyDescent="0.3">
      <c r="B19" s="56"/>
      <c r="C19" s="42">
        <v>7000</v>
      </c>
      <c r="D19" s="47">
        <v>60000</v>
      </c>
      <c r="E19" s="42">
        <f t="shared" si="0"/>
        <v>14000</v>
      </c>
      <c r="F19" s="47">
        <f t="shared" si="1"/>
        <v>74000</v>
      </c>
      <c r="G19" s="42">
        <f t="shared" si="2"/>
        <v>47600</v>
      </c>
      <c r="H19" s="48">
        <f t="shared" si="3"/>
        <v>-26400</v>
      </c>
      <c r="I19" s="57"/>
      <c r="J19" s="56"/>
    </row>
    <row r="20" spans="2:12" ht="18.75" customHeight="1" x14ac:dyDescent="0.3">
      <c r="C20" s="42">
        <v>8000</v>
      </c>
      <c r="D20" s="47">
        <v>60000</v>
      </c>
      <c r="E20" s="42">
        <f t="shared" si="0"/>
        <v>16000</v>
      </c>
      <c r="F20" s="47">
        <f t="shared" si="1"/>
        <v>76000</v>
      </c>
      <c r="G20" s="42">
        <f t="shared" si="2"/>
        <v>54400</v>
      </c>
      <c r="H20" s="48">
        <f t="shared" si="3"/>
        <v>-21600</v>
      </c>
      <c r="I20" s="57"/>
      <c r="J20" s="56"/>
    </row>
    <row r="21" spans="2:12" ht="18.75" customHeight="1" x14ac:dyDescent="0.3">
      <c r="C21" s="42">
        <v>9000</v>
      </c>
      <c r="D21" s="47">
        <v>60000</v>
      </c>
      <c r="E21" s="42">
        <f t="shared" si="0"/>
        <v>18000</v>
      </c>
      <c r="F21" s="47">
        <f t="shared" si="1"/>
        <v>78000</v>
      </c>
      <c r="G21" s="42">
        <f t="shared" si="2"/>
        <v>61200</v>
      </c>
      <c r="H21" s="48">
        <f t="shared" si="3"/>
        <v>-16800</v>
      </c>
      <c r="I21" s="57"/>
      <c r="J21" s="42" t="s">
        <v>23</v>
      </c>
      <c r="K21" s="47">
        <v>12500</v>
      </c>
      <c r="L21" s="56"/>
    </row>
    <row r="22" spans="2:12" ht="18.75" customHeight="1" x14ac:dyDescent="0.3">
      <c r="C22" s="42">
        <v>10000</v>
      </c>
      <c r="D22" s="47">
        <v>60000</v>
      </c>
      <c r="E22" s="42">
        <f t="shared" si="0"/>
        <v>20000</v>
      </c>
      <c r="F22" s="47">
        <f t="shared" si="1"/>
        <v>80000</v>
      </c>
      <c r="G22" s="42">
        <f t="shared" si="2"/>
        <v>68000</v>
      </c>
      <c r="H22" s="48">
        <f t="shared" si="3"/>
        <v>-12000</v>
      </c>
      <c r="I22" s="57"/>
      <c r="J22" s="42" t="s">
        <v>24</v>
      </c>
      <c r="K22" s="42">
        <f>K21*C6</f>
        <v>85000</v>
      </c>
      <c r="L22" s="52"/>
    </row>
    <row r="23" spans="2:12" ht="18.75" customHeight="1" x14ac:dyDescent="0.3">
      <c r="C23" s="42">
        <v>11000</v>
      </c>
      <c r="D23" s="47">
        <v>60000</v>
      </c>
      <c r="E23" s="42">
        <f t="shared" si="0"/>
        <v>22000</v>
      </c>
      <c r="F23" s="47">
        <f t="shared" si="1"/>
        <v>82000</v>
      </c>
      <c r="G23" s="42">
        <f t="shared" si="2"/>
        <v>74800</v>
      </c>
      <c r="H23" s="48">
        <f t="shared" si="3"/>
        <v>-7200</v>
      </c>
      <c r="I23" s="57"/>
      <c r="J23" s="49" t="s">
        <v>26</v>
      </c>
      <c r="K23" s="60">
        <f>K21/C7</f>
        <v>0.8928571428571429</v>
      </c>
      <c r="L23" s="52"/>
    </row>
    <row r="24" spans="2:12" ht="18.75" customHeight="1" x14ac:dyDescent="0.3">
      <c r="C24" s="49">
        <v>12000</v>
      </c>
      <c r="D24" s="50">
        <v>60000</v>
      </c>
      <c r="E24" s="42">
        <f t="shared" si="0"/>
        <v>24000</v>
      </c>
      <c r="F24" s="50">
        <f t="shared" si="1"/>
        <v>84000</v>
      </c>
      <c r="G24" s="42">
        <f t="shared" si="2"/>
        <v>81600</v>
      </c>
      <c r="H24" s="51">
        <f t="shared" si="3"/>
        <v>-2400</v>
      </c>
      <c r="I24" s="58"/>
      <c r="L24" s="52"/>
    </row>
    <row r="25" spans="2:12" ht="18.75" customHeight="1" x14ac:dyDescent="0.3">
      <c r="B25" s="56"/>
      <c r="C25" s="49">
        <v>13000</v>
      </c>
      <c r="D25" s="50">
        <v>60000</v>
      </c>
      <c r="E25" s="42">
        <f t="shared" si="0"/>
        <v>26000</v>
      </c>
      <c r="F25" s="50">
        <f t="shared" si="1"/>
        <v>86000</v>
      </c>
      <c r="G25" s="42">
        <f t="shared" si="2"/>
        <v>88400</v>
      </c>
      <c r="H25" s="51">
        <f t="shared" si="3"/>
        <v>2400</v>
      </c>
      <c r="I25" s="58"/>
      <c r="K25" s="52"/>
      <c r="L25" s="52"/>
    </row>
    <row r="26" spans="2:12" ht="18.75" customHeight="1" x14ac:dyDescent="0.3">
      <c r="B26" s="56"/>
      <c r="C26" s="42">
        <v>14000</v>
      </c>
      <c r="D26" s="47">
        <v>60000</v>
      </c>
      <c r="E26" s="42">
        <f t="shared" si="0"/>
        <v>28000</v>
      </c>
      <c r="F26" s="47">
        <f t="shared" si="1"/>
        <v>88000</v>
      </c>
      <c r="G26" s="42">
        <f t="shared" si="2"/>
        <v>95200</v>
      </c>
      <c r="H26" s="48">
        <f t="shared" si="3"/>
        <v>7200</v>
      </c>
      <c r="I26" s="57"/>
      <c r="J26" s="56"/>
    </row>
    <row r="27" spans="2:12" ht="15.6" x14ac:dyDescent="0.3">
      <c r="B27" s="56"/>
      <c r="C27" s="56"/>
      <c r="D27" s="56"/>
      <c r="E27" s="56"/>
      <c r="F27" s="56"/>
      <c r="G27" s="56"/>
      <c r="H27" s="56"/>
      <c r="I27" s="56"/>
      <c r="J27" s="56"/>
    </row>
    <row r="28" spans="2:12" ht="15.6" x14ac:dyDescent="0.3">
      <c r="B28" s="56"/>
      <c r="C28" s="56"/>
      <c r="D28" s="56"/>
      <c r="E28" s="56"/>
      <c r="F28" s="56"/>
      <c r="G28" s="56"/>
      <c r="H28" s="56"/>
      <c r="I28" s="56"/>
      <c r="J28" s="56"/>
    </row>
    <row r="29" spans="2:12" ht="15.6" x14ac:dyDescent="0.3">
      <c r="B29" s="10" t="s">
        <v>5</v>
      </c>
      <c r="C29" s="11"/>
      <c r="D29" s="12"/>
      <c r="E29" s="76" t="s">
        <v>27</v>
      </c>
      <c r="F29" s="76"/>
      <c r="G29" s="56"/>
      <c r="H29" s="56"/>
      <c r="I29" s="56"/>
      <c r="J29" s="56"/>
    </row>
    <row r="30" spans="2:12" ht="30" customHeight="1" x14ac:dyDescent="0.3">
      <c r="B30" s="14" t="s">
        <v>1</v>
      </c>
      <c r="C30" s="21">
        <v>20000</v>
      </c>
      <c r="D30" s="15" t="s">
        <v>6</v>
      </c>
      <c r="E30" s="29" t="s">
        <v>28</v>
      </c>
      <c r="F30" s="61">
        <f>F52</f>
        <v>62000</v>
      </c>
      <c r="G30" s="56"/>
      <c r="H30" s="56"/>
      <c r="I30" s="56"/>
      <c r="J30" s="56"/>
    </row>
    <row r="31" spans="2:12" ht="19.5" customHeight="1" x14ac:dyDescent="0.3">
      <c r="B31" s="14" t="s">
        <v>2</v>
      </c>
      <c r="C31" s="13">
        <v>3</v>
      </c>
      <c r="D31" s="15" t="s">
        <v>6</v>
      </c>
      <c r="E31" s="33" t="s">
        <v>29</v>
      </c>
      <c r="F31" s="62">
        <f>F30/C33</f>
        <v>4.4285714285714288</v>
      </c>
      <c r="G31" s="56"/>
      <c r="H31" s="56"/>
      <c r="I31" s="56"/>
      <c r="J31" s="56"/>
    </row>
    <row r="32" spans="2:12" ht="19.5" customHeight="1" x14ac:dyDescent="0.3">
      <c r="B32" s="14" t="s">
        <v>3</v>
      </c>
      <c r="C32" s="13">
        <f>8-1.2</f>
        <v>6.8</v>
      </c>
      <c r="D32" s="15" t="s">
        <v>6</v>
      </c>
      <c r="F32" s="56"/>
      <c r="G32" s="56"/>
      <c r="H32" s="56"/>
      <c r="I32" s="56"/>
      <c r="J32" s="56"/>
    </row>
    <row r="33" spans="2:10" ht="19.5" customHeight="1" x14ac:dyDescent="0.3">
      <c r="B33" s="16" t="s">
        <v>4</v>
      </c>
      <c r="C33" s="17">
        <v>14000</v>
      </c>
      <c r="D33" s="18" t="s">
        <v>7</v>
      </c>
      <c r="F33" s="56"/>
      <c r="G33" s="56"/>
      <c r="H33" s="56"/>
      <c r="I33" s="56"/>
      <c r="J33" s="56"/>
    </row>
    <row r="34" spans="2:10" ht="15.6" x14ac:dyDescent="0.3">
      <c r="B34" s="56"/>
      <c r="C34" s="56"/>
      <c r="D34" s="56"/>
      <c r="E34" s="56"/>
      <c r="F34" s="56"/>
      <c r="G34" s="56"/>
      <c r="H34" s="56"/>
      <c r="I34" s="56"/>
      <c r="J34" s="56"/>
    </row>
    <row r="35" spans="2:10" ht="15.6" x14ac:dyDescent="0.3">
      <c r="B35" s="56"/>
      <c r="C35" s="56"/>
      <c r="D35" s="56"/>
      <c r="E35" s="56"/>
      <c r="F35" s="56"/>
      <c r="G35" s="56"/>
      <c r="H35" s="56"/>
      <c r="I35" s="56"/>
      <c r="J35" s="56"/>
    </row>
    <row r="36" spans="2:10" ht="33.75" customHeight="1" x14ac:dyDescent="0.3">
      <c r="B36" s="43" t="s">
        <v>5</v>
      </c>
      <c r="C36" s="44"/>
      <c r="D36" s="44"/>
      <c r="E36" s="44"/>
      <c r="F36" s="44"/>
      <c r="G36" s="44"/>
      <c r="H36" s="44"/>
      <c r="I36" s="44"/>
      <c r="J36" s="56"/>
    </row>
    <row r="37" spans="2:10" ht="37.200000000000003" customHeight="1" x14ac:dyDescent="0.3">
      <c r="B37" s="45"/>
      <c r="C37" s="46" t="s">
        <v>16</v>
      </c>
      <c r="D37" s="46" t="s">
        <v>17</v>
      </c>
      <c r="E37" s="46" t="s">
        <v>18</v>
      </c>
      <c r="F37" s="46" t="s">
        <v>19</v>
      </c>
      <c r="G37" s="46" t="s">
        <v>20</v>
      </c>
      <c r="H37" s="46" t="s">
        <v>21</v>
      </c>
      <c r="I37" s="59"/>
      <c r="J37" s="56"/>
    </row>
    <row r="38" spans="2:10" ht="21" customHeight="1" x14ac:dyDescent="0.3">
      <c r="B38" s="56"/>
      <c r="C38" s="42">
        <v>0</v>
      </c>
      <c r="D38" s="47">
        <v>20000</v>
      </c>
      <c r="E38" s="42">
        <f t="shared" ref="E38:E52" si="4">C38*$C$31</f>
        <v>0</v>
      </c>
      <c r="F38" s="47">
        <f t="shared" ref="F38:F52" si="5">D38+E38</f>
        <v>20000</v>
      </c>
      <c r="G38" s="42">
        <f t="shared" ref="G38:G52" si="6">$C$32*C38</f>
        <v>0</v>
      </c>
      <c r="H38" s="48">
        <f t="shared" ref="H38:H52" si="7">G38-F38</f>
        <v>-20000</v>
      </c>
      <c r="I38" s="57"/>
      <c r="J38" s="56"/>
    </row>
    <row r="39" spans="2:10" ht="21" customHeight="1" x14ac:dyDescent="0.3">
      <c r="B39" s="56"/>
      <c r="C39" s="42">
        <v>1000</v>
      </c>
      <c r="D39" s="47">
        <v>20000</v>
      </c>
      <c r="E39" s="42">
        <f t="shared" si="4"/>
        <v>3000</v>
      </c>
      <c r="F39" s="47">
        <f t="shared" si="5"/>
        <v>23000</v>
      </c>
      <c r="G39" s="42">
        <f t="shared" si="6"/>
        <v>6800</v>
      </c>
      <c r="H39" s="48">
        <f t="shared" si="7"/>
        <v>-16200</v>
      </c>
      <c r="I39" s="57"/>
      <c r="J39" s="56"/>
    </row>
    <row r="40" spans="2:10" ht="21" customHeight="1" x14ac:dyDescent="0.3">
      <c r="B40" s="56"/>
      <c r="C40" s="42">
        <v>2000</v>
      </c>
      <c r="D40" s="47">
        <v>20000</v>
      </c>
      <c r="E40" s="42">
        <f t="shared" si="4"/>
        <v>6000</v>
      </c>
      <c r="F40" s="47">
        <f t="shared" si="5"/>
        <v>26000</v>
      </c>
      <c r="G40" s="42">
        <f t="shared" si="6"/>
        <v>13600</v>
      </c>
      <c r="H40" s="48">
        <f t="shared" si="7"/>
        <v>-12400</v>
      </c>
      <c r="I40" s="57"/>
      <c r="J40" s="56"/>
    </row>
    <row r="41" spans="2:10" ht="21" customHeight="1" x14ac:dyDescent="0.3">
      <c r="B41" s="56"/>
      <c r="C41" s="42">
        <v>3000</v>
      </c>
      <c r="D41" s="47">
        <v>20000</v>
      </c>
      <c r="E41" s="42">
        <f t="shared" si="4"/>
        <v>9000</v>
      </c>
      <c r="F41" s="47">
        <f t="shared" si="5"/>
        <v>29000</v>
      </c>
      <c r="G41" s="42">
        <f t="shared" si="6"/>
        <v>20400</v>
      </c>
      <c r="H41" s="48">
        <f t="shared" si="7"/>
        <v>-8600</v>
      </c>
      <c r="I41" s="57"/>
      <c r="J41" s="56"/>
    </row>
    <row r="42" spans="2:10" ht="21" customHeight="1" x14ac:dyDescent="0.3">
      <c r="B42" s="56"/>
      <c r="C42" s="42">
        <v>4000</v>
      </c>
      <c r="D42" s="47">
        <v>20000</v>
      </c>
      <c r="E42" s="42">
        <f t="shared" si="4"/>
        <v>12000</v>
      </c>
      <c r="F42" s="47">
        <f t="shared" si="5"/>
        <v>32000</v>
      </c>
      <c r="G42" s="42">
        <f t="shared" si="6"/>
        <v>27200</v>
      </c>
      <c r="H42" s="48">
        <f t="shared" si="7"/>
        <v>-4800</v>
      </c>
      <c r="I42" s="57"/>
    </row>
    <row r="43" spans="2:10" ht="21" customHeight="1" x14ac:dyDescent="0.3">
      <c r="B43" s="56"/>
      <c r="C43" s="49">
        <v>5000</v>
      </c>
      <c r="D43" s="50">
        <v>20000</v>
      </c>
      <c r="E43" s="42">
        <f t="shared" si="4"/>
        <v>15000</v>
      </c>
      <c r="F43" s="50">
        <f t="shared" si="5"/>
        <v>35000</v>
      </c>
      <c r="G43" s="42">
        <f t="shared" si="6"/>
        <v>34000</v>
      </c>
      <c r="H43" s="51">
        <f t="shared" si="7"/>
        <v>-1000</v>
      </c>
      <c r="I43" s="58"/>
    </row>
    <row r="44" spans="2:10" ht="21" customHeight="1" x14ac:dyDescent="0.3">
      <c r="B44" s="56"/>
      <c r="C44" s="49">
        <v>6000</v>
      </c>
      <c r="D44" s="50">
        <v>20000</v>
      </c>
      <c r="E44" s="42">
        <f t="shared" si="4"/>
        <v>18000</v>
      </c>
      <c r="F44" s="50">
        <f t="shared" si="5"/>
        <v>38000</v>
      </c>
      <c r="G44" s="42">
        <f t="shared" si="6"/>
        <v>40800</v>
      </c>
      <c r="H44" s="51">
        <f t="shared" si="7"/>
        <v>2800</v>
      </c>
      <c r="I44" s="58"/>
    </row>
    <row r="45" spans="2:10" ht="21" customHeight="1" x14ac:dyDescent="0.3">
      <c r="B45" s="56"/>
      <c r="C45" s="42">
        <v>7000</v>
      </c>
      <c r="D45" s="47">
        <v>20000</v>
      </c>
      <c r="E45" s="42">
        <f t="shared" si="4"/>
        <v>21000</v>
      </c>
      <c r="F45" s="47">
        <f t="shared" si="5"/>
        <v>41000</v>
      </c>
      <c r="G45" s="42">
        <f t="shared" si="6"/>
        <v>47600</v>
      </c>
      <c r="H45" s="48">
        <f t="shared" si="7"/>
        <v>6600</v>
      </c>
      <c r="I45" s="57"/>
    </row>
    <row r="46" spans="2:10" ht="21" customHeight="1" x14ac:dyDescent="0.3">
      <c r="B46" s="56"/>
      <c r="C46" s="42">
        <v>8000</v>
      </c>
      <c r="D46" s="47">
        <v>20000</v>
      </c>
      <c r="E46" s="42">
        <f t="shared" si="4"/>
        <v>24000</v>
      </c>
      <c r="F46" s="47">
        <f t="shared" si="5"/>
        <v>44000</v>
      </c>
      <c r="G46" s="42">
        <f t="shared" si="6"/>
        <v>54400</v>
      </c>
      <c r="H46" s="48">
        <f t="shared" si="7"/>
        <v>10400</v>
      </c>
      <c r="I46" s="57"/>
    </row>
    <row r="47" spans="2:10" ht="21" customHeight="1" x14ac:dyDescent="0.3">
      <c r="B47" s="56"/>
      <c r="C47" s="42">
        <v>9000</v>
      </c>
      <c r="D47" s="47">
        <v>20000</v>
      </c>
      <c r="E47" s="42">
        <f t="shared" si="4"/>
        <v>27000</v>
      </c>
      <c r="F47" s="47">
        <f t="shared" si="5"/>
        <v>47000</v>
      </c>
      <c r="G47" s="42">
        <f t="shared" si="6"/>
        <v>61200</v>
      </c>
      <c r="H47" s="48">
        <f t="shared" si="7"/>
        <v>14200</v>
      </c>
      <c r="I47" s="57"/>
    </row>
    <row r="48" spans="2:10" ht="21" customHeight="1" x14ac:dyDescent="0.3">
      <c r="B48" s="56"/>
      <c r="C48" s="42">
        <v>10000</v>
      </c>
      <c r="D48" s="47">
        <v>20000</v>
      </c>
      <c r="E48" s="42">
        <f t="shared" si="4"/>
        <v>30000</v>
      </c>
      <c r="F48" s="47">
        <f t="shared" si="5"/>
        <v>50000</v>
      </c>
      <c r="G48" s="42">
        <f t="shared" si="6"/>
        <v>68000</v>
      </c>
      <c r="H48" s="48">
        <f t="shared" si="7"/>
        <v>18000</v>
      </c>
      <c r="I48" s="57"/>
    </row>
    <row r="49" spans="2:11" ht="21" customHeight="1" x14ac:dyDescent="0.3">
      <c r="B49" s="56"/>
      <c r="C49" s="42">
        <v>11000</v>
      </c>
      <c r="D49" s="47">
        <v>20000</v>
      </c>
      <c r="E49" s="42">
        <f t="shared" si="4"/>
        <v>33000</v>
      </c>
      <c r="F49" s="47">
        <f t="shared" si="5"/>
        <v>53000</v>
      </c>
      <c r="G49" s="42">
        <f t="shared" si="6"/>
        <v>74800</v>
      </c>
      <c r="H49" s="48">
        <f t="shared" si="7"/>
        <v>21800</v>
      </c>
      <c r="I49" s="57"/>
      <c r="J49" s="42" t="s">
        <v>23</v>
      </c>
      <c r="K49" s="47">
        <v>5500</v>
      </c>
    </row>
    <row r="50" spans="2:11" ht="21" customHeight="1" x14ac:dyDescent="0.3">
      <c r="B50" s="56"/>
      <c r="C50" s="42">
        <v>12000</v>
      </c>
      <c r="D50" s="47">
        <v>20000</v>
      </c>
      <c r="E50" s="42">
        <f t="shared" si="4"/>
        <v>36000</v>
      </c>
      <c r="F50" s="47">
        <f t="shared" si="5"/>
        <v>56000</v>
      </c>
      <c r="G50" s="42">
        <f t="shared" si="6"/>
        <v>81600</v>
      </c>
      <c r="H50" s="48">
        <f t="shared" si="7"/>
        <v>25600</v>
      </c>
      <c r="I50" s="57"/>
      <c r="J50" s="42" t="s">
        <v>24</v>
      </c>
      <c r="K50" s="42">
        <f>K49*C32</f>
        <v>37400</v>
      </c>
    </row>
    <row r="51" spans="2:11" ht="21" customHeight="1" x14ac:dyDescent="0.3">
      <c r="C51" s="42">
        <v>13000</v>
      </c>
      <c r="D51" s="47">
        <v>20000</v>
      </c>
      <c r="E51" s="42">
        <f t="shared" si="4"/>
        <v>39000</v>
      </c>
      <c r="F51" s="47">
        <f t="shared" si="5"/>
        <v>59000</v>
      </c>
      <c r="G51" s="42">
        <f t="shared" si="6"/>
        <v>88400</v>
      </c>
      <c r="H51" s="48">
        <f t="shared" si="7"/>
        <v>29400</v>
      </c>
      <c r="I51" s="57"/>
      <c r="J51" s="49" t="s">
        <v>26</v>
      </c>
      <c r="K51" s="60">
        <f>K49/C33</f>
        <v>0.39285714285714285</v>
      </c>
    </row>
    <row r="52" spans="2:11" ht="21" customHeight="1" x14ac:dyDescent="0.3">
      <c r="C52" s="42">
        <v>14000</v>
      </c>
      <c r="D52" s="47">
        <v>20000</v>
      </c>
      <c r="E52" s="42">
        <f t="shared" si="4"/>
        <v>42000</v>
      </c>
      <c r="F52" s="47">
        <f t="shared" si="5"/>
        <v>62000</v>
      </c>
      <c r="G52" s="42">
        <f t="shared" si="6"/>
        <v>95200</v>
      </c>
      <c r="H52" s="48">
        <f t="shared" si="7"/>
        <v>33200</v>
      </c>
      <c r="I52" s="57"/>
    </row>
  </sheetData>
  <mergeCells count="2">
    <mergeCell ref="E29:F29"/>
    <mergeCell ref="E3:F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62eb3b-a1c5-4c8c-a9f3-d7f2c9096fd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6D732D850F7B1045827C703EBA872FC8" ma:contentTypeVersion="6" ma:contentTypeDescription="Δημιουργία νέου εγγράφου" ma:contentTypeScope="" ma:versionID="867a3c62efe13395255fb993e4af217e">
  <xsd:schema xmlns:xsd="http://www.w3.org/2001/XMLSchema" xmlns:xs="http://www.w3.org/2001/XMLSchema" xmlns:p="http://schemas.microsoft.com/office/2006/metadata/properties" xmlns:ns3="a662eb3b-a1c5-4c8c-a9f3-d7f2c9096fd6" targetNamespace="http://schemas.microsoft.com/office/2006/metadata/properties" ma:root="true" ma:fieldsID="44dc62a031e5aff4f308c751b9a3be22" ns3:_="">
    <xsd:import namespace="a662eb3b-a1c5-4c8c-a9f3-d7f2c9096f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2eb3b-a1c5-4c8c-a9f3-d7f2c9096f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278B7B-FB8D-4522-A52C-383F492402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A90795-A939-40A2-B3F8-E2AF56FD840D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662eb3b-a1c5-4c8c-a9f3-d7f2c9096fd6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B000535-E712-4E9B-A7AE-5DA9EC45B4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2eb3b-a1c5-4c8c-a9f3-d7f2c9096f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Στοιχεία Φοιτητών</vt:lpstr>
      <vt:lpstr>Εκφώνηση  </vt:lpstr>
      <vt:lpstr>Ερώτηματα Α, Β, E </vt:lpstr>
      <vt:lpstr>Ερώτημα Γ, 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aliadaki</dc:creator>
  <cp:lastModifiedBy>Παναγιωτης Κωστ.</cp:lastModifiedBy>
  <cp:lastPrinted>2024-12-11T07:30:17Z</cp:lastPrinted>
  <dcterms:created xsi:type="dcterms:W3CDTF">2019-11-27T07:47:45Z</dcterms:created>
  <dcterms:modified xsi:type="dcterms:W3CDTF">2026-08-11T08:34:55Z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0x0101006D732D850F7B1045827C703EBA872FC8</vt:lpwstr>
  </property>
</Properties>
</file>